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ãe" sheetId="1" r:id="rId4"/>
    <sheet state="visible" name="Ede" sheetId="2" r:id="rId5"/>
    <sheet state="visible" name="Tarci" sheetId="3" r:id="rId6"/>
    <sheet state="visible" name="Finanças" sheetId="4" r:id="rId7"/>
    <sheet state="hidden" name="Plan1" sheetId="5" r:id="rId8"/>
  </sheets>
  <definedNames/>
  <calcPr/>
  <extLst>
    <ext uri="GoogleSheetsCustomDataVersion2">
      <go:sheetsCustomData xmlns:go="http://customooxmlschemas.google.com/" r:id="rId9" roundtripDataChecksum="SGnr1tctXssnBZZBdPrnN0iYA0j93sojg7JPyIkBh58="/>
    </ext>
  </extLst>
</workbook>
</file>

<file path=xl/sharedStrings.xml><?xml version="1.0" encoding="utf-8"?>
<sst xmlns="http://schemas.openxmlformats.org/spreadsheetml/2006/main" count="2505" uniqueCount="279">
  <si>
    <t>cartão</t>
  </si>
  <si>
    <t>Total</t>
  </si>
  <si>
    <t>total</t>
  </si>
  <si>
    <t xml:space="preserve"> </t>
  </si>
  <si>
    <t>abr2016</t>
  </si>
  <si>
    <t>mai2016</t>
  </si>
  <si>
    <t>jun2016</t>
  </si>
  <si>
    <t>jul2016</t>
  </si>
  <si>
    <t>out16</t>
  </si>
  <si>
    <t>nov16</t>
  </si>
  <si>
    <t>dez2016</t>
  </si>
  <si>
    <t>jan2017</t>
  </si>
  <si>
    <t>fev2017</t>
  </si>
  <si>
    <t>mar2017</t>
  </si>
  <si>
    <t>abr2017</t>
  </si>
  <si>
    <t>mai2017</t>
  </si>
  <si>
    <t>jun17</t>
  </si>
  <si>
    <t>jul17</t>
  </si>
  <si>
    <t>ago17</t>
  </si>
  <si>
    <t>set17</t>
  </si>
  <si>
    <t>out17</t>
  </si>
  <si>
    <t>nov17</t>
  </si>
  <si>
    <t>dez17</t>
  </si>
  <si>
    <t>jan18</t>
  </si>
  <si>
    <t>fev2018</t>
  </si>
  <si>
    <t>mar18</t>
  </si>
  <si>
    <t>abr2018</t>
  </si>
  <si>
    <t>maio2018</t>
  </si>
  <si>
    <t>jun18</t>
  </si>
  <si>
    <t>jul18</t>
  </si>
  <si>
    <t>ago18</t>
  </si>
  <si>
    <t>set18</t>
  </si>
  <si>
    <t>out19</t>
  </si>
  <si>
    <t>nov19</t>
  </si>
  <si>
    <t>dez19</t>
  </si>
  <si>
    <t>jan19</t>
  </si>
  <si>
    <t>fev19</t>
  </si>
  <si>
    <t>jun19</t>
  </si>
  <si>
    <t>jul19</t>
  </si>
  <si>
    <t>ago19</t>
  </si>
  <si>
    <t>set19</t>
  </si>
  <si>
    <t>jan20</t>
  </si>
  <si>
    <t>fev20</t>
  </si>
  <si>
    <t>mar20</t>
  </si>
  <si>
    <t>abr20</t>
  </si>
  <si>
    <t>mai20</t>
  </si>
  <si>
    <t>Cartão</t>
  </si>
  <si>
    <t>Itaú</t>
  </si>
  <si>
    <t>Outros</t>
  </si>
  <si>
    <t>C6</t>
  </si>
  <si>
    <t>Carmelita</t>
  </si>
  <si>
    <t>Mãe</t>
  </si>
  <si>
    <t>eu</t>
  </si>
  <si>
    <t>carmelita</t>
  </si>
  <si>
    <t>mãe</t>
  </si>
  <si>
    <t>meu</t>
  </si>
  <si>
    <t>academia</t>
  </si>
  <si>
    <t>renner</t>
  </si>
  <si>
    <t>simone</t>
  </si>
  <si>
    <t>mara</t>
  </si>
  <si>
    <t>TOTAL</t>
  </si>
  <si>
    <t>adão</t>
  </si>
  <si>
    <t>jun16</t>
  </si>
  <si>
    <t>jul16</t>
  </si>
  <si>
    <t>ago16</t>
  </si>
  <si>
    <t>set16</t>
  </si>
  <si>
    <t>dez16</t>
  </si>
  <si>
    <t>jan16</t>
  </si>
  <si>
    <t>fev16</t>
  </si>
  <si>
    <t>mar16</t>
  </si>
  <si>
    <t>Mara</t>
  </si>
  <si>
    <t>abr16</t>
  </si>
  <si>
    <t>choop</t>
  </si>
  <si>
    <t>mai17</t>
  </si>
  <si>
    <t>fev18</t>
  </si>
  <si>
    <t>abr18</t>
  </si>
  <si>
    <t>mai18</t>
  </si>
  <si>
    <t>*</t>
  </si>
  <si>
    <t>66.5</t>
  </si>
  <si>
    <t>out18</t>
  </si>
  <si>
    <t>nov18</t>
  </si>
  <si>
    <t>dez18</t>
  </si>
  <si>
    <t>praia</t>
  </si>
  <si>
    <t>IPTU</t>
  </si>
  <si>
    <t>abr19</t>
  </si>
  <si>
    <t>mai19</t>
  </si>
  <si>
    <t>Faculdade</t>
  </si>
  <si>
    <t>Internet</t>
  </si>
  <si>
    <t>Luz</t>
  </si>
  <si>
    <t>Gás</t>
  </si>
  <si>
    <t>AP</t>
  </si>
  <si>
    <t>Moto</t>
  </si>
  <si>
    <t>salão de festa</t>
  </si>
  <si>
    <t>vivo</t>
  </si>
  <si>
    <t>verificar</t>
  </si>
  <si>
    <t>Carro</t>
  </si>
  <si>
    <t>jun20</t>
  </si>
  <si>
    <t>jul20</t>
  </si>
  <si>
    <t>ago20</t>
  </si>
  <si>
    <t>set20</t>
  </si>
  <si>
    <t>out20</t>
  </si>
  <si>
    <t>nov20</t>
  </si>
  <si>
    <t>dez20</t>
  </si>
  <si>
    <t>jan21</t>
  </si>
  <si>
    <t>sheila</t>
  </si>
  <si>
    <t>Casa</t>
  </si>
  <si>
    <t>Estorno</t>
  </si>
  <si>
    <t>Seguro</t>
  </si>
  <si>
    <t>Banco</t>
  </si>
  <si>
    <t>Água</t>
  </si>
  <si>
    <t>Unimed</t>
  </si>
  <si>
    <t>CUB</t>
  </si>
  <si>
    <t>Cartão Ede</t>
  </si>
  <si>
    <t>Jacuzzi</t>
  </si>
  <si>
    <t>Granito</t>
  </si>
  <si>
    <t>NU</t>
  </si>
  <si>
    <t>Viagem</t>
  </si>
  <si>
    <t>Sogra</t>
  </si>
  <si>
    <t>Licenciamento</t>
  </si>
  <si>
    <t>Ailos</t>
  </si>
  <si>
    <t>Cartão Itaú</t>
  </si>
  <si>
    <t>Ede</t>
  </si>
  <si>
    <t>mae</t>
  </si>
  <si>
    <t>tia</t>
  </si>
  <si>
    <t>trabalho</t>
  </si>
  <si>
    <t>depilação</t>
  </si>
  <si>
    <t>Lu</t>
  </si>
  <si>
    <t>Zane/leide</t>
  </si>
  <si>
    <t>tieca</t>
  </si>
  <si>
    <t>Zane</t>
  </si>
  <si>
    <t>Leide</t>
  </si>
  <si>
    <t>corte cab.</t>
  </si>
  <si>
    <t>Camila</t>
  </si>
  <si>
    <t>sandra</t>
  </si>
  <si>
    <t>silmara</t>
  </si>
  <si>
    <t>sesi Ede</t>
  </si>
  <si>
    <t>Oriel</t>
  </si>
  <si>
    <t>jana</t>
  </si>
  <si>
    <t>fabiano</t>
  </si>
  <si>
    <t>bolsa</t>
  </si>
  <si>
    <t>Mone</t>
  </si>
  <si>
    <t>shopping</t>
  </si>
  <si>
    <t>ede</t>
  </si>
  <si>
    <t>Jana</t>
  </si>
  <si>
    <t>Helena</t>
  </si>
  <si>
    <t>depilaçao</t>
  </si>
  <si>
    <t>oculos</t>
  </si>
  <si>
    <t>carro</t>
  </si>
  <si>
    <t>Dani</t>
  </si>
  <si>
    <t>Sandra</t>
  </si>
  <si>
    <t>aplicação</t>
  </si>
  <si>
    <t>tia zane</t>
  </si>
  <si>
    <t>Haid</t>
  </si>
  <si>
    <t>aplicaçaõ</t>
  </si>
  <si>
    <t>presentes</t>
  </si>
  <si>
    <t>haveroth</t>
  </si>
  <si>
    <t>sapateiro</t>
  </si>
  <si>
    <t>Ede/sesi</t>
  </si>
  <si>
    <t>carteira</t>
  </si>
  <si>
    <t>evelyn</t>
  </si>
  <si>
    <t>dani</t>
  </si>
  <si>
    <t xml:space="preserve">  </t>
  </si>
  <si>
    <t>alle due</t>
  </si>
  <si>
    <t>P. Lucca</t>
  </si>
  <si>
    <t>ede/sesi</t>
  </si>
  <si>
    <t>A. secreto</t>
  </si>
  <si>
    <t>Adri</t>
  </si>
  <si>
    <t>Ana</t>
  </si>
  <si>
    <t>Cabelo</t>
  </si>
  <si>
    <t>Sobrancelha</t>
  </si>
  <si>
    <t>salgadinho</t>
  </si>
  <si>
    <t>perfume</t>
  </si>
  <si>
    <t>sobrancelha</t>
  </si>
  <si>
    <t>meias</t>
  </si>
  <si>
    <t>tia Zane</t>
  </si>
  <si>
    <t>sapato</t>
  </si>
  <si>
    <t>ana</t>
  </si>
  <si>
    <t>angeloni</t>
  </si>
  <si>
    <t>lençol</t>
  </si>
  <si>
    <t>fim de ano</t>
  </si>
  <si>
    <t>crédito</t>
  </si>
  <si>
    <t>faculdade</t>
  </si>
  <si>
    <t>blusas</t>
  </si>
  <si>
    <t>condominio</t>
  </si>
  <si>
    <t>vanderson</t>
  </si>
  <si>
    <t>mercado</t>
  </si>
  <si>
    <t>jan17</t>
  </si>
  <si>
    <t>fev17</t>
  </si>
  <si>
    <t>mar17</t>
  </si>
  <si>
    <t>abr17</t>
  </si>
  <si>
    <t>licenciamento</t>
  </si>
  <si>
    <t>corte cabelo</t>
  </si>
  <si>
    <t>Débito</t>
  </si>
  <si>
    <t>Artrox (matricula)</t>
  </si>
  <si>
    <t>Artrox (material)</t>
  </si>
  <si>
    <t>Artrox (mensalidade)</t>
  </si>
  <si>
    <t>Tuanne</t>
  </si>
  <si>
    <t>Artrox</t>
  </si>
  <si>
    <t>Pão</t>
  </si>
  <si>
    <t>catão</t>
  </si>
  <si>
    <t>Pijama</t>
  </si>
  <si>
    <t>Salgados</t>
  </si>
  <si>
    <t>Gloriosa</t>
  </si>
  <si>
    <t>mar19</t>
  </si>
  <si>
    <t>Atrox</t>
  </si>
  <si>
    <t>Condomínio</t>
  </si>
  <si>
    <t>Isenta</t>
  </si>
  <si>
    <t>Estacionamento</t>
  </si>
  <si>
    <t>Jaque</t>
  </si>
  <si>
    <t>banco</t>
  </si>
  <si>
    <t>Fabiano</t>
  </si>
  <si>
    <t>CNH</t>
  </si>
  <si>
    <t>Vivo</t>
  </si>
  <si>
    <t>Tieca</t>
  </si>
  <si>
    <t>Piso</t>
  </si>
  <si>
    <t>Box</t>
  </si>
  <si>
    <t>Raquel</t>
  </si>
  <si>
    <t>Eleandro</t>
  </si>
  <si>
    <t>fev21</t>
  </si>
  <si>
    <t>Djuni</t>
  </si>
  <si>
    <t>mar21</t>
  </si>
  <si>
    <t>Chocolate</t>
  </si>
  <si>
    <t>Haide</t>
  </si>
  <si>
    <t>Documento</t>
  </si>
  <si>
    <t>Luz mãe</t>
  </si>
  <si>
    <t>Sabonete</t>
  </si>
  <si>
    <t>RI</t>
  </si>
  <si>
    <t>Elói</t>
  </si>
  <si>
    <t>Ketlin</t>
  </si>
  <si>
    <t>Pai</t>
  </si>
  <si>
    <t>Calha</t>
  </si>
  <si>
    <t>Seu Elói</t>
  </si>
  <si>
    <t>Su</t>
  </si>
  <si>
    <t>CRF</t>
  </si>
  <si>
    <t>pai</t>
  </si>
  <si>
    <t>Vidros</t>
  </si>
  <si>
    <t>Bandejas</t>
  </si>
  <si>
    <t>Cartão NU</t>
  </si>
  <si>
    <t>Pousada</t>
  </si>
  <si>
    <t>Pedreiro</t>
  </si>
  <si>
    <t>Forro</t>
  </si>
  <si>
    <t>Alumínio</t>
  </si>
  <si>
    <t>Cervejeira</t>
  </si>
  <si>
    <t>Sofá</t>
  </si>
  <si>
    <t>Lingerie</t>
  </si>
  <si>
    <t>Feira</t>
  </si>
  <si>
    <t>Cartão Ailos</t>
  </si>
  <si>
    <t>Nomad</t>
  </si>
  <si>
    <t xml:space="preserve">Cobertura </t>
  </si>
  <si>
    <t>Cartão C6</t>
  </si>
  <si>
    <t>Limpeza Vidros</t>
  </si>
  <si>
    <t>BO</t>
  </si>
  <si>
    <t>Pós</t>
  </si>
  <si>
    <t>Flávio</t>
  </si>
  <si>
    <t>Luz solar</t>
  </si>
  <si>
    <t>Fabiano 55,85</t>
  </si>
  <si>
    <t>Meu/Mãe</t>
  </si>
  <si>
    <t>Dólar</t>
  </si>
  <si>
    <t>C6 diário</t>
  </si>
  <si>
    <t>C6 anual</t>
  </si>
  <si>
    <t>Viacred</t>
  </si>
  <si>
    <t>Mãe 60,67/Meu 69,58</t>
  </si>
  <si>
    <t>Mãe 71,56</t>
  </si>
  <si>
    <t>Mãe 17,06</t>
  </si>
  <si>
    <t>Mãe 70,70</t>
  </si>
  <si>
    <t>C6 1 ano</t>
  </si>
  <si>
    <t>C6 diária</t>
  </si>
  <si>
    <t>Investimento NU</t>
  </si>
  <si>
    <t>Cotas Viacred meu</t>
  </si>
  <si>
    <t>Cotas Viacred Ede</t>
  </si>
  <si>
    <t>SOMAS:</t>
  </si>
  <si>
    <t/>
  </si>
  <si>
    <t>C6 diária + C6 1 ano + NU</t>
  </si>
  <si>
    <t>C6 diária + C6 1 ano</t>
  </si>
  <si>
    <t>Viacred cotas meu/Ede</t>
  </si>
  <si>
    <t>Viacred cotas + C6 1 ano</t>
  </si>
  <si>
    <t>C6 diária + NU</t>
  </si>
  <si>
    <t>Total sem cotas</t>
  </si>
  <si>
    <t>Total sem nomad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</si>
</sst>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-416]mmm/yy"/>
    <numFmt numFmtId="165" formatCode="yyyy\-mm\-dd"/>
    <numFmt numFmtId="166" formatCode="mmm/yyyy"/>
    <numFmt numFmtId="167" formatCode="d/m/yy"/>
    <numFmt numFmtId="168" formatCode="mmm/d"/>
    <numFmt numFmtId="169" formatCode="[$R$ -416]#,##0.00"/>
    <numFmt numFmtId="170" formatCode="[$$]#,##0.00"/>
  </numFmts>
  <fonts count="37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sz val="11.0"/>
      <color rgb="FFFF0000"/>
      <name val="Calibri"/>
    </font>
    <font>
      <sz val="11.0"/>
      <color rgb="FF00B0F0"/>
      <name val="Calibri"/>
    </font>
    <font>
      <sz val="11.0"/>
      <color rgb="FF9BBB59"/>
      <name val="Calibri"/>
    </font>
    <font>
      <sz val="11.0"/>
      <color rgb="FFFF3333"/>
      <name val="Calibri"/>
    </font>
    <font>
      <sz val="11.0"/>
      <color rgb="FFFF3300"/>
      <name val="Calibri"/>
    </font>
    <font>
      <sz val="11.0"/>
      <color rgb="FF00B050"/>
      <name val="Calibri"/>
    </font>
    <font>
      <color rgb="FFFF0000"/>
      <name val="Calibri"/>
      <scheme val="minor"/>
    </font>
    <font>
      <color rgb="FFFF9900"/>
      <name val="Calibri"/>
      <scheme val="minor"/>
    </font>
    <font>
      <sz val="11.0"/>
      <color rgb="FF4F81BD"/>
      <name val="Calibri"/>
    </font>
    <font>
      <sz val="11.0"/>
      <color rgb="FF4BACC6"/>
      <name val="Calibri"/>
    </font>
    <font>
      <sz val="11.0"/>
      <color rgb="FF3399FF"/>
      <name val="Calibri"/>
    </font>
    <font>
      <sz val="11.0"/>
      <color rgb="FF66CCFF"/>
      <name val="Calibri"/>
    </font>
    <font>
      <sz val="11.0"/>
      <color rgb="FF0000FF"/>
      <name val="Calibri"/>
    </font>
    <font>
      <sz val="11.0"/>
      <color rgb="FF009900"/>
      <name val="Calibri"/>
    </font>
    <font>
      <sz val="11.0"/>
      <color rgb="FF00A933"/>
      <name val="Calibri"/>
    </font>
    <font>
      <sz val="11.0"/>
      <color rgb="FF333333"/>
      <name val="Calibri"/>
    </font>
    <font>
      <sz val="11.0"/>
      <color rgb="FFFF4000"/>
      <name val="Calibri"/>
    </font>
    <font>
      <sz val="11.0"/>
      <color theme="1"/>
      <name val="Calibri"/>
    </font>
    <font>
      <sz val="11.0"/>
      <color rgb="FF8EB4E3"/>
      <name val="Calibri"/>
    </font>
    <font>
      <sz val="11.0"/>
      <color rgb="FF7030A0"/>
      <name val="Calibri"/>
    </font>
    <font>
      <sz val="10.0"/>
      <color rgb="FF000000"/>
      <name val="Calibri"/>
    </font>
    <font>
      <sz val="11.0"/>
      <color rgb="FF009933"/>
      <name val="Calibri"/>
    </font>
    <font>
      <b/>
      <sz val="11.0"/>
      <color rgb="FFFF0000"/>
      <name val="Calibri"/>
    </font>
    <font>
      <b/>
      <sz val="11.0"/>
      <color rgb="FF000000"/>
      <name val="Calibri"/>
    </font>
    <font>
      <sz val="11.0"/>
      <color rgb="FF1C1C1C"/>
      <name val="Calibri"/>
    </font>
    <font>
      <sz val="11.0"/>
      <color rgb="FF70AD47"/>
      <name val="Calibri"/>
    </font>
    <font>
      <sz val="10.0"/>
      <color rgb="FFFF0000"/>
      <name val="Arial"/>
    </font>
    <font>
      <sz val="10.0"/>
      <color rgb="FF000000"/>
      <name val="Arial"/>
    </font>
    <font>
      <b/>
      <color rgb="FFFF0000"/>
      <name val="Calibri"/>
      <scheme val="minor"/>
    </font>
    <font>
      <color rgb="FF0000FF"/>
      <name val="Calibri"/>
      <scheme val="minor"/>
    </font>
    <font>
      <sz val="11.0"/>
      <color rgb="FF6AA84F"/>
      <name val="Calibri"/>
    </font>
    <font>
      <color rgb="FF6AA84F"/>
      <name val="Calibri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4" numFmtId="164" xfId="0" applyFont="1" applyNumberFormat="1"/>
    <xf borderId="0" fillId="0" fontId="6" numFmtId="0" xfId="0" applyFont="1"/>
    <xf borderId="0" fillId="0" fontId="1" numFmtId="165" xfId="0" applyFont="1" applyNumberFormat="1"/>
    <xf borderId="0" fillId="0" fontId="7" numFmtId="0" xfId="0" applyFont="1"/>
    <xf borderId="0" fillId="0" fontId="6" numFmtId="0" xfId="0" applyAlignment="1" applyFont="1">
      <alignment shrinkToFit="0" wrapText="1"/>
    </xf>
    <xf borderId="0" fillId="0" fontId="1" numFmtId="164" xfId="0" applyAlignment="1" applyFont="1" applyNumberFormat="1">
      <alignment horizontal="left"/>
    </xf>
    <xf borderId="0" fillId="0" fontId="8" numFmtId="0" xfId="0" applyFont="1"/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9" numFmtId="0" xfId="0" applyAlignment="1" applyFont="1">
      <alignment readingOrder="0"/>
    </xf>
    <xf borderId="0" fillId="0" fontId="9" numFmtId="0" xfId="0" applyFont="1"/>
    <xf borderId="0" fillId="0" fontId="10" numFmtId="0" xfId="0" applyFont="1"/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" numFmtId="167" xfId="0" applyFont="1" applyNumberFormat="1"/>
    <xf borderId="0" fillId="0" fontId="15" numFmtId="0" xfId="0" applyFont="1"/>
    <xf borderId="0" fillId="0" fontId="16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right"/>
    </xf>
    <xf borderId="0" fillId="0" fontId="17" numFmtId="0" xfId="0" applyFont="1"/>
    <xf borderId="0" fillId="0" fontId="18" numFmtId="0" xfId="0" applyFont="1"/>
    <xf borderId="0" fillId="0" fontId="19" numFmtId="0" xfId="0" applyFont="1"/>
    <xf borderId="0" fillId="0" fontId="20" numFmtId="0" xfId="0" applyFont="1"/>
    <xf borderId="0" fillId="0" fontId="3" numFmtId="3" xfId="0" applyFont="1" applyNumberFormat="1"/>
    <xf borderId="0" fillId="0" fontId="20" numFmtId="164" xfId="0" applyAlignment="1" applyFont="1" applyNumberFormat="1">
      <alignment horizontal="right" readingOrder="0" vertical="bottom"/>
    </xf>
    <xf borderId="0" fillId="0" fontId="20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1" numFmtId="0" xfId="0" applyFont="1"/>
    <xf borderId="0" fillId="0" fontId="22" numFmtId="0" xfId="0" applyFont="1"/>
    <xf borderId="0" fillId="0" fontId="23" numFmtId="0" xfId="0" applyFont="1"/>
    <xf borderId="0" fillId="0" fontId="24" numFmtId="0" xfId="0" applyFont="1"/>
    <xf borderId="0" fillId="0" fontId="1" numFmtId="167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25" numFmtId="0" xfId="0" applyFont="1"/>
    <xf borderId="0" fillId="0" fontId="26" numFmtId="0" xfId="0" applyFont="1"/>
    <xf borderId="0" fillId="0" fontId="27" numFmtId="0" xfId="0" applyFont="1"/>
    <xf borderId="0" fillId="0" fontId="28" numFmtId="0" xfId="0" applyFont="1"/>
    <xf borderId="0" fillId="0" fontId="29" numFmtId="0" xfId="0" applyFont="1"/>
    <xf borderId="0" fillId="0" fontId="30" numFmtId="0" xfId="0" applyFont="1"/>
    <xf borderId="0" fillId="0" fontId="31" numFmtId="0" xfId="0" applyFont="1"/>
    <xf borderId="0" fillId="0" fontId="9" numFmtId="3" xfId="0" applyAlignment="1" applyFont="1" applyNumberFormat="1">
      <alignment readingOrder="0"/>
    </xf>
    <xf borderId="0" fillId="0" fontId="32" numFmtId="0" xfId="0" applyFont="1"/>
    <xf borderId="0" fillId="0" fontId="2" numFmtId="168" xfId="0" applyAlignment="1" applyFont="1" applyNumberFormat="1">
      <alignment readingOrder="0"/>
    </xf>
    <xf borderId="0" fillId="0" fontId="20" numFmtId="168" xfId="0" applyAlignment="1" applyFont="1" applyNumberFormat="1">
      <alignment horizontal="right" readingOrder="0" vertical="bottom"/>
    </xf>
    <xf borderId="0" fillId="0" fontId="20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3" numFmtId="0" xfId="0" applyAlignment="1" applyFont="1">
      <alignment vertical="bottom"/>
    </xf>
    <xf borderId="0" fillId="0" fontId="34" numFmtId="0" xfId="0" applyFont="1"/>
    <xf borderId="0" fillId="0" fontId="20" numFmtId="0" xfId="0" applyAlignment="1" applyFont="1">
      <alignment horizontal="right" readingOrder="0" vertical="bottom"/>
    </xf>
    <xf borderId="0" fillId="0" fontId="35" numFmtId="0" xfId="0" applyAlignment="1" applyFont="1">
      <alignment vertical="bottom"/>
    </xf>
    <xf borderId="0" fillId="0" fontId="35" numFmtId="169" xfId="0" applyAlignment="1" applyFont="1" applyNumberFormat="1">
      <alignment horizontal="right" readingOrder="0" vertical="bottom"/>
    </xf>
    <xf borderId="0" fillId="0" fontId="35" numFmtId="0" xfId="0" applyAlignment="1" applyFont="1">
      <alignment readingOrder="0" vertical="bottom"/>
    </xf>
    <xf borderId="0" fillId="0" fontId="35" numFmtId="170" xfId="0" applyAlignment="1" applyFont="1" applyNumberFormat="1">
      <alignment horizontal="right" readingOrder="0" vertical="bottom"/>
    </xf>
    <xf borderId="0" fillId="0" fontId="35" numFmtId="0" xfId="0" applyAlignment="1" applyFont="1">
      <alignment readingOrder="0"/>
    </xf>
    <xf borderId="0" fillId="0" fontId="35" numFmtId="0" xfId="0" applyFont="1"/>
    <xf borderId="0" fillId="0" fontId="36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5" numFmtId="169" xfId="0" applyFont="1" applyNumberFormat="1"/>
    <xf borderId="0" fillId="0" fontId="35" numFmtId="169" xfId="0" applyAlignment="1" applyFont="1" applyNumberFormat="1">
      <alignment horizontal="right" vertical="bottom"/>
    </xf>
    <xf borderId="0" fillId="0" fontId="35" numFmtId="169" xfId="0" applyAlignment="1" applyFont="1" applyNumberFormat="1">
      <alignment vertical="bottom"/>
    </xf>
    <xf borderId="0" fillId="0" fontId="35" numFmtId="170" xfId="0" applyAlignment="1" applyFont="1" applyNumberFormat="1">
      <alignment horizontal="right" vertical="bottom"/>
    </xf>
    <xf borderId="0" fillId="0" fontId="3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4" width="9.0"/>
  </cols>
  <sheetData>
    <row r="1">
      <c r="A1" s="1">
        <v>41334.0</v>
      </c>
    </row>
    <row r="2">
      <c r="A2" s="2" t="s">
        <v>0</v>
      </c>
      <c r="B2" s="3">
        <v>89.0</v>
      </c>
      <c r="C2" s="3">
        <v>103.5</v>
      </c>
      <c r="D2" s="3">
        <v>57.65</v>
      </c>
    </row>
    <row r="3">
      <c r="A3" s="4" t="s">
        <v>1</v>
      </c>
      <c r="B3" s="4">
        <v>250.15</v>
      </c>
    </row>
    <row r="4">
      <c r="A4" s="5"/>
    </row>
    <row r="5">
      <c r="A5" s="1">
        <v>41365.0</v>
      </c>
    </row>
    <row r="6">
      <c r="A6" s="2" t="s">
        <v>0</v>
      </c>
      <c r="B6" s="3">
        <v>103.5</v>
      </c>
      <c r="C6" s="3">
        <v>88.11</v>
      </c>
    </row>
    <row r="7">
      <c r="A7" s="4" t="s">
        <v>2</v>
      </c>
      <c r="B7" s="4">
        <v>191.61</v>
      </c>
    </row>
    <row r="8">
      <c r="A8" s="1"/>
    </row>
    <row r="9">
      <c r="A9" s="1">
        <v>41395.0</v>
      </c>
    </row>
    <row r="10">
      <c r="A10" s="2" t="s">
        <v>0</v>
      </c>
      <c r="B10" s="3">
        <v>13.98</v>
      </c>
      <c r="C10" s="3">
        <v>17.3</v>
      </c>
      <c r="D10" s="3">
        <v>103.5</v>
      </c>
      <c r="E10" s="3">
        <v>88.11</v>
      </c>
      <c r="F10" s="3">
        <v>29.91</v>
      </c>
      <c r="G10" s="3">
        <v>181.11</v>
      </c>
      <c r="H10" s="3"/>
    </row>
    <row r="11">
      <c r="A11" s="4" t="s">
        <v>2</v>
      </c>
      <c r="B11" s="4">
        <v>433.91</v>
      </c>
    </row>
    <row r="13">
      <c r="A13" s="1">
        <v>41426.0</v>
      </c>
    </row>
    <row r="14">
      <c r="A14" s="2" t="s">
        <v>0</v>
      </c>
      <c r="B14" s="3">
        <v>181.11</v>
      </c>
      <c r="C14" s="3">
        <v>103.5</v>
      </c>
      <c r="D14" s="3">
        <v>88.11</v>
      </c>
      <c r="F14" s="5"/>
    </row>
    <row r="15">
      <c r="A15" s="4" t="s">
        <v>2</v>
      </c>
      <c r="B15" s="4">
        <v>372.72</v>
      </c>
    </row>
    <row r="16">
      <c r="A16" s="1">
        <v>41456.0</v>
      </c>
    </row>
    <row r="17">
      <c r="A17" s="2" t="s">
        <v>0</v>
      </c>
      <c r="B17" s="3">
        <v>11.05</v>
      </c>
      <c r="C17" s="3">
        <v>103.5</v>
      </c>
      <c r="D17" s="3">
        <v>88.11</v>
      </c>
      <c r="E17" s="3">
        <v>181.11</v>
      </c>
    </row>
    <row r="18">
      <c r="A18" s="4" t="s">
        <v>2</v>
      </c>
      <c r="B18" s="4">
        <v>383.67</v>
      </c>
    </row>
    <row r="19">
      <c r="A19" s="1">
        <v>41487.0</v>
      </c>
    </row>
    <row r="20">
      <c r="A20" s="2" t="s">
        <v>0</v>
      </c>
      <c r="B20" s="3">
        <v>103.5</v>
      </c>
      <c r="C20" s="3">
        <v>88.11</v>
      </c>
      <c r="D20" s="3">
        <v>181.11</v>
      </c>
      <c r="E20" s="3">
        <v>3.57</v>
      </c>
    </row>
    <row r="21" ht="15.75" customHeight="1">
      <c r="A21" s="6" t="s">
        <v>2</v>
      </c>
      <c r="B21" s="4">
        <v>376.29</v>
      </c>
    </row>
    <row r="22" ht="15.75" customHeight="1">
      <c r="A22" s="1">
        <v>41518.0</v>
      </c>
    </row>
    <row r="23" ht="15.75" customHeight="1">
      <c r="A23" s="2" t="s">
        <v>0</v>
      </c>
      <c r="B23" s="3">
        <v>103.5</v>
      </c>
      <c r="C23" s="3">
        <v>181.11</v>
      </c>
      <c r="D23" s="3">
        <v>78.41</v>
      </c>
      <c r="E23" s="3">
        <v>87.2</v>
      </c>
      <c r="G23" s="4"/>
    </row>
    <row r="24" ht="15.75" customHeight="1">
      <c r="A24" s="4" t="s">
        <v>2</v>
      </c>
      <c r="B24" s="4">
        <v>450.22</v>
      </c>
    </row>
    <row r="25" ht="15.75" customHeight="1">
      <c r="A25" s="1">
        <v>41548.0</v>
      </c>
    </row>
    <row r="26" ht="15.75" customHeight="1">
      <c r="A26" s="2" t="s">
        <v>0</v>
      </c>
      <c r="B26" s="3">
        <v>78.41</v>
      </c>
      <c r="C26" s="3">
        <v>181.11</v>
      </c>
      <c r="D26" s="3">
        <v>153.01</v>
      </c>
      <c r="F26" s="4"/>
    </row>
    <row r="27" ht="15.75" customHeight="1">
      <c r="A27" s="4" t="s">
        <v>2</v>
      </c>
      <c r="B27" s="4">
        <v>412.53</v>
      </c>
    </row>
    <row r="28" ht="15.75" customHeight="1">
      <c r="A28" s="1">
        <v>41579.0</v>
      </c>
    </row>
    <row r="29" ht="15.75" customHeight="1">
      <c r="A29" s="2" t="s">
        <v>0</v>
      </c>
      <c r="B29" s="3">
        <v>181.11</v>
      </c>
      <c r="C29" s="3">
        <v>68.95</v>
      </c>
      <c r="D29" s="3">
        <v>78.41</v>
      </c>
      <c r="E29" s="3">
        <v>153.01</v>
      </c>
      <c r="F29" s="3">
        <v>39.3</v>
      </c>
      <c r="G29" s="3">
        <v>37.99</v>
      </c>
    </row>
    <row r="30" ht="15.75" customHeight="1">
      <c r="A30" s="4" t="s">
        <v>2</v>
      </c>
      <c r="B30" s="4">
        <v>558.77</v>
      </c>
      <c r="C30" s="3"/>
      <c r="D30" s="3"/>
      <c r="E30" s="3"/>
      <c r="F30" s="3"/>
      <c r="G30" s="3"/>
    </row>
    <row r="31" ht="15.75" customHeight="1">
      <c r="A31" s="1">
        <v>41609.0</v>
      </c>
      <c r="B31" s="3"/>
      <c r="C31" s="3"/>
      <c r="D31" s="3"/>
      <c r="E31" s="3"/>
      <c r="F31" s="3"/>
      <c r="G31" s="3"/>
      <c r="H31" s="3"/>
      <c r="I31" s="3"/>
    </row>
    <row r="32" ht="15.75" customHeight="1">
      <c r="A32" s="2" t="s">
        <v>0</v>
      </c>
      <c r="B32" s="3">
        <v>181.11</v>
      </c>
      <c r="C32" s="3">
        <v>68.95</v>
      </c>
      <c r="D32" s="3">
        <v>22.68</v>
      </c>
      <c r="E32" s="3">
        <v>78.41</v>
      </c>
      <c r="F32" s="3">
        <v>153.01</v>
      </c>
      <c r="G32" s="3">
        <v>39.3</v>
      </c>
      <c r="H32" s="3">
        <v>37.99</v>
      </c>
      <c r="I32" s="3">
        <v>56.43</v>
      </c>
    </row>
    <row r="33" ht="15.75" customHeight="1">
      <c r="A33" s="4" t="s">
        <v>2</v>
      </c>
      <c r="B33" s="4">
        <v>637.88</v>
      </c>
    </row>
    <row r="34" ht="15.75" customHeight="1">
      <c r="A34" s="1">
        <v>41640.0</v>
      </c>
    </row>
    <row r="35" ht="15.75" customHeight="1">
      <c r="A35" s="2" t="s">
        <v>0</v>
      </c>
      <c r="B35" s="3">
        <v>181.11</v>
      </c>
      <c r="C35" s="3">
        <v>36.0</v>
      </c>
      <c r="D35" s="3">
        <v>89.1</v>
      </c>
      <c r="E35" s="3">
        <v>9.54</v>
      </c>
      <c r="F35" s="3">
        <v>78.41</v>
      </c>
      <c r="G35" s="3">
        <v>153.01</v>
      </c>
      <c r="H35" s="3">
        <v>39.3</v>
      </c>
      <c r="I35" s="3">
        <v>37.99</v>
      </c>
      <c r="J35" s="3">
        <v>56.43</v>
      </c>
      <c r="K35" s="3"/>
      <c r="L35" s="3"/>
    </row>
    <row r="36" ht="15.75" customHeight="1">
      <c r="A36" s="4" t="s">
        <v>2</v>
      </c>
      <c r="B36" s="4">
        <v>680.89</v>
      </c>
    </row>
    <row r="37" ht="15.75" customHeight="1">
      <c r="A37" s="1">
        <v>41671.0</v>
      </c>
    </row>
    <row r="38" ht="15.75" customHeight="1">
      <c r="A38" s="2" t="s">
        <v>0</v>
      </c>
      <c r="B38" s="3">
        <v>78.41</v>
      </c>
      <c r="C38" s="3">
        <v>23.94</v>
      </c>
      <c r="D38" s="3">
        <v>37.99</v>
      </c>
      <c r="E38" s="3">
        <v>56.43</v>
      </c>
      <c r="F38" s="3">
        <v>7.9</v>
      </c>
      <c r="G38" s="3">
        <v>733.42</v>
      </c>
    </row>
    <row r="39" ht="15.75" customHeight="1">
      <c r="A39" s="4" t="s">
        <v>2</v>
      </c>
      <c r="B39" s="4">
        <v>938.09</v>
      </c>
    </row>
    <row r="40" ht="15.75" customHeight="1">
      <c r="A40" s="1">
        <v>41699.0</v>
      </c>
    </row>
    <row r="41" ht="15.75" customHeight="1">
      <c r="A41" s="2" t="s">
        <v>0</v>
      </c>
      <c r="B41" s="3">
        <v>23.9</v>
      </c>
      <c r="C41" s="3">
        <v>4.0</v>
      </c>
      <c r="D41" s="3">
        <v>31.97</v>
      </c>
      <c r="E41" s="3">
        <v>78.41</v>
      </c>
      <c r="F41" s="3">
        <v>37.99</v>
      </c>
      <c r="G41" s="3">
        <v>56.43</v>
      </c>
      <c r="H41" s="3">
        <v>26.64</v>
      </c>
      <c r="I41" s="3">
        <v>733.42</v>
      </c>
      <c r="J41" s="3">
        <v>7.9</v>
      </c>
    </row>
    <row r="42" ht="15.75" customHeight="1">
      <c r="A42" s="4" t="s">
        <v>2</v>
      </c>
      <c r="B42" s="4">
        <v>1000.66</v>
      </c>
    </row>
    <row r="43" ht="15.75" customHeight="1">
      <c r="A43" s="1">
        <v>41730.0</v>
      </c>
    </row>
    <row r="44" ht="15.75" customHeight="1">
      <c r="A44" s="2" t="s">
        <v>0</v>
      </c>
      <c r="B44" s="3">
        <v>73.95</v>
      </c>
      <c r="C44" s="3">
        <v>86.32</v>
      </c>
      <c r="D44" s="3">
        <v>78.41</v>
      </c>
      <c r="E44" s="3">
        <v>37.99</v>
      </c>
      <c r="F44" s="3">
        <v>56.43</v>
      </c>
      <c r="G44" s="3">
        <v>26.64</v>
      </c>
      <c r="H44" s="3">
        <v>733.42</v>
      </c>
      <c r="I44" s="3">
        <v>7.9</v>
      </c>
      <c r="J44" s="3">
        <v>29.32</v>
      </c>
      <c r="K44" s="3">
        <v>62.98</v>
      </c>
    </row>
    <row r="45" ht="15.75" customHeight="1">
      <c r="A45" s="4" t="s">
        <v>2</v>
      </c>
      <c r="B45" s="4">
        <v>1193.36</v>
      </c>
    </row>
    <row r="46" ht="15.75" customHeight="1">
      <c r="A46" s="1">
        <v>41760.0</v>
      </c>
    </row>
    <row r="47" ht="15.75" customHeight="1">
      <c r="A47" s="2" t="s">
        <v>0</v>
      </c>
      <c r="B47" s="3">
        <v>78.41</v>
      </c>
      <c r="C47" s="3">
        <v>37.99</v>
      </c>
      <c r="D47" s="3">
        <v>26.64</v>
      </c>
      <c r="E47" s="3">
        <v>7.9</v>
      </c>
      <c r="F47" s="3">
        <v>62.98</v>
      </c>
      <c r="G47" s="3">
        <v>32.45</v>
      </c>
      <c r="I47" s="3"/>
    </row>
    <row r="48" ht="15.75" customHeight="1">
      <c r="A48" s="4" t="s">
        <v>2</v>
      </c>
      <c r="B48" s="4">
        <v>246.37</v>
      </c>
    </row>
    <row r="49" ht="15.75" customHeight="1">
      <c r="A49" s="1">
        <v>41791.0</v>
      </c>
    </row>
    <row r="50" ht="15.75" customHeight="1">
      <c r="A50" s="2" t="s">
        <v>0</v>
      </c>
      <c r="B50" s="3">
        <v>37.99</v>
      </c>
      <c r="C50" s="3">
        <v>7.9</v>
      </c>
      <c r="D50" s="3">
        <v>62.98</v>
      </c>
      <c r="E50" s="3">
        <v>32.45</v>
      </c>
      <c r="F50" s="3">
        <v>55.99</v>
      </c>
      <c r="G50" s="3">
        <v>56.0</v>
      </c>
      <c r="H50" s="3">
        <v>66.64</v>
      </c>
      <c r="I50" s="3"/>
    </row>
    <row r="51" ht="15.75" customHeight="1">
      <c r="A51" s="4" t="s">
        <v>2</v>
      </c>
      <c r="B51" s="4">
        <v>319.95</v>
      </c>
    </row>
    <row r="52" ht="15.75" customHeight="1">
      <c r="A52" s="1">
        <v>41821.0</v>
      </c>
    </row>
    <row r="53" ht="15.75" customHeight="1">
      <c r="A53" s="2" t="s">
        <v>0</v>
      </c>
      <c r="B53" s="3">
        <v>37.99</v>
      </c>
      <c r="C53" s="3">
        <v>7.9</v>
      </c>
      <c r="D53" s="3">
        <v>14.39</v>
      </c>
      <c r="E53" s="3">
        <v>122.13</v>
      </c>
      <c r="F53" s="3">
        <v>62.98</v>
      </c>
      <c r="G53" s="3">
        <v>66.64</v>
      </c>
    </row>
    <row r="54" ht="15.75" customHeight="1"/>
    <row r="55" ht="15.75" customHeight="1">
      <c r="A55" s="1">
        <v>41852.0</v>
      </c>
    </row>
    <row r="56" ht="15.75" customHeight="1">
      <c r="A56" s="2" t="s">
        <v>0</v>
      </c>
      <c r="B56" s="3">
        <v>37.99</v>
      </c>
      <c r="C56" s="3">
        <v>7.9</v>
      </c>
      <c r="D56" s="3">
        <v>122.13</v>
      </c>
      <c r="E56" s="3">
        <v>62.98</v>
      </c>
      <c r="F56" s="3">
        <v>66.64</v>
      </c>
      <c r="H56" s="2">
        <v>297.64</v>
      </c>
    </row>
    <row r="57" ht="15.75" customHeight="1"/>
    <row r="58" ht="15.75" customHeight="1">
      <c r="A58" s="1">
        <v>41883.0</v>
      </c>
    </row>
    <row r="59" ht="15.75" customHeight="1">
      <c r="A59" s="2" t="s">
        <v>0</v>
      </c>
      <c r="B59" s="3">
        <v>7.9</v>
      </c>
    </row>
    <row r="60" ht="15.75" customHeight="1"/>
    <row r="61" ht="15.75" customHeight="1">
      <c r="A61" s="1">
        <v>41913.0</v>
      </c>
    </row>
    <row r="62" ht="15.75" customHeight="1">
      <c r="A62" s="2" t="s">
        <v>0</v>
      </c>
      <c r="B62" s="3">
        <v>7.9</v>
      </c>
      <c r="C62" s="3">
        <v>333.2</v>
      </c>
    </row>
    <row r="63" ht="15.75" customHeight="1"/>
    <row r="64" ht="15.75" customHeight="1">
      <c r="A64" s="1">
        <v>41944.0</v>
      </c>
    </row>
    <row r="65" ht="15.75" customHeight="1">
      <c r="A65" s="2" t="s">
        <v>0</v>
      </c>
      <c r="B65" s="3">
        <v>7.9</v>
      </c>
      <c r="C65" s="3">
        <v>333.2</v>
      </c>
    </row>
    <row r="66" ht="15.75" customHeight="1"/>
    <row r="67" ht="15.75" customHeight="1">
      <c r="A67" s="1">
        <v>41974.0</v>
      </c>
    </row>
    <row r="68" ht="15.75" customHeight="1">
      <c r="A68" s="2" t="s">
        <v>0</v>
      </c>
      <c r="B68" s="3">
        <v>7.9</v>
      </c>
      <c r="C68" s="3">
        <v>333.2</v>
      </c>
      <c r="D68" s="3">
        <v>40.98</v>
      </c>
      <c r="E68" s="3"/>
    </row>
    <row r="69" ht="15.75" customHeight="1"/>
    <row r="70" ht="15.75" customHeight="1">
      <c r="A70" s="1">
        <v>42005.0</v>
      </c>
    </row>
    <row r="71" ht="15.75" customHeight="1">
      <c r="A71" s="2" t="s">
        <v>0</v>
      </c>
      <c r="B71" s="3">
        <v>7.9</v>
      </c>
      <c r="C71" s="3">
        <v>333.2</v>
      </c>
      <c r="D71" s="3">
        <v>65.7</v>
      </c>
      <c r="E71" s="3">
        <v>40.98</v>
      </c>
      <c r="F71" s="3">
        <v>50.04</v>
      </c>
      <c r="G71" s="3">
        <v>303.35</v>
      </c>
    </row>
    <row r="72" ht="15.75" customHeight="1">
      <c r="F72" s="2" t="s">
        <v>3</v>
      </c>
    </row>
    <row r="73" ht="15.75" customHeight="1">
      <c r="A73" s="1">
        <v>42036.0</v>
      </c>
    </row>
    <row r="74" ht="15.75" customHeight="1">
      <c r="A74" s="2" t="s">
        <v>0</v>
      </c>
      <c r="B74" s="3">
        <v>8.42</v>
      </c>
      <c r="C74" s="3">
        <v>333.2</v>
      </c>
      <c r="D74" s="3">
        <v>40.98</v>
      </c>
      <c r="E74" s="3">
        <v>50.04</v>
      </c>
      <c r="F74" s="3">
        <v>303.35</v>
      </c>
      <c r="G74" s="3">
        <v>243.71</v>
      </c>
      <c r="H74" s="3">
        <v>53.98</v>
      </c>
    </row>
    <row r="75" ht="15.75" customHeight="1"/>
    <row r="76" ht="15.75" customHeight="1">
      <c r="A76" s="1">
        <v>42064.0</v>
      </c>
    </row>
    <row r="77" ht="15.75" customHeight="1">
      <c r="A77" s="2" t="s">
        <v>0</v>
      </c>
      <c r="B77" s="3">
        <v>8.42</v>
      </c>
      <c r="C77" s="3">
        <v>333.2</v>
      </c>
      <c r="D77" s="3">
        <v>40.98</v>
      </c>
      <c r="E77" s="3">
        <v>50.04</v>
      </c>
      <c r="F77" s="3">
        <v>303.35</v>
      </c>
      <c r="G77" s="3">
        <v>243.71</v>
      </c>
      <c r="H77" s="3">
        <v>53.98</v>
      </c>
      <c r="I77" s="3">
        <v>56.96</v>
      </c>
      <c r="J77" s="3"/>
    </row>
    <row r="78" ht="15.75" customHeight="1"/>
    <row r="79" ht="15.75" customHeight="1">
      <c r="A79" s="1">
        <v>42095.0</v>
      </c>
    </row>
    <row r="80" ht="15.75" customHeight="1">
      <c r="A80" s="2" t="s">
        <v>0</v>
      </c>
      <c r="B80" s="3">
        <v>8.42</v>
      </c>
      <c r="C80" s="3">
        <v>40.98</v>
      </c>
      <c r="D80" s="3">
        <v>303.35</v>
      </c>
      <c r="E80" s="3">
        <v>243.71</v>
      </c>
      <c r="F80" s="3">
        <v>53.98</v>
      </c>
      <c r="G80" s="3">
        <v>333.2</v>
      </c>
      <c r="H80" s="3"/>
      <c r="J80" s="3"/>
    </row>
    <row r="81" ht="15.75" customHeight="1"/>
    <row r="82" ht="15.75" customHeight="1">
      <c r="A82" s="1">
        <v>42125.0</v>
      </c>
    </row>
    <row r="83" ht="15.75" customHeight="1">
      <c r="A83" s="2" t="s">
        <v>0</v>
      </c>
      <c r="B83" s="3">
        <v>8.42</v>
      </c>
      <c r="C83" s="3">
        <v>40.98</v>
      </c>
      <c r="D83" s="3">
        <v>303.35</v>
      </c>
      <c r="E83" s="3">
        <v>243.71</v>
      </c>
      <c r="F83" s="3">
        <v>53.98</v>
      </c>
      <c r="I83" s="3"/>
    </row>
    <row r="84" ht="15.75" customHeight="1"/>
    <row r="85" ht="15.75" customHeight="1">
      <c r="A85" s="1">
        <v>42156.0</v>
      </c>
    </row>
    <row r="86" ht="15.75" customHeight="1">
      <c r="A86" s="2" t="s">
        <v>0</v>
      </c>
      <c r="B86" s="3">
        <v>8.42</v>
      </c>
      <c r="C86" s="3">
        <v>40.98</v>
      </c>
      <c r="D86" s="3">
        <v>303.35</v>
      </c>
      <c r="E86" s="3">
        <v>243.71</v>
      </c>
      <c r="F86" s="3">
        <v>53.98</v>
      </c>
      <c r="G86" s="3">
        <v>25.0</v>
      </c>
      <c r="H86" s="3">
        <v>43.5</v>
      </c>
      <c r="I86" s="3">
        <v>107.0</v>
      </c>
      <c r="J86" s="3"/>
      <c r="K86" s="3"/>
    </row>
    <row r="87" ht="15.75" customHeight="1"/>
    <row r="88" ht="15.75" customHeight="1">
      <c r="A88" s="1">
        <v>42186.0</v>
      </c>
    </row>
    <row r="89" ht="15.75" customHeight="1">
      <c r="A89" s="2" t="s">
        <v>0</v>
      </c>
      <c r="B89" s="3">
        <v>8.42</v>
      </c>
      <c r="C89" s="3">
        <v>40.98</v>
      </c>
      <c r="D89" s="3">
        <v>243.71</v>
      </c>
      <c r="E89" s="3">
        <v>53.98</v>
      </c>
      <c r="F89" s="3">
        <v>35.18</v>
      </c>
      <c r="G89" s="3">
        <v>107.0</v>
      </c>
      <c r="H89" s="3">
        <v>350.0</v>
      </c>
      <c r="K89" s="3"/>
    </row>
    <row r="90" ht="15.75" customHeight="1"/>
    <row r="91" ht="15.75" customHeight="1">
      <c r="A91" s="1">
        <v>42217.0</v>
      </c>
    </row>
    <row r="92" ht="15.75" customHeight="1">
      <c r="A92" s="2" t="s">
        <v>0</v>
      </c>
      <c r="B92" s="3">
        <v>8.42</v>
      </c>
      <c r="C92" s="3">
        <v>40.98</v>
      </c>
      <c r="D92" s="3">
        <v>243.71</v>
      </c>
      <c r="E92" s="3">
        <v>53.98</v>
      </c>
      <c r="F92" s="3">
        <v>107.0</v>
      </c>
      <c r="G92" s="3">
        <v>350.0</v>
      </c>
      <c r="H92" s="3">
        <v>65.9</v>
      </c>
      <c r="I92" s="3">
        <v>350.0</v>
      </c>
      <c r="J92" s="3"/>
    </row>
    <row r="93" ht="15.75" customHeight="1"/>
    <row r="94" ht="15.75" customHeight="1">
      <c r="A94" s="1">
        <v>42248.0</v>
      </c>
    </row>
    <row r="95" ht="15.75" customHeight="1">
      <c r="A95" s="2" t="s">
        <v>0</v>
      </c>
      <c r="B95" s="3">
        <v>8.42</v>
      </c>
      <c r="C95" s="3">
        <v>40.98</v>
      </c>
      <c r="D95" s="3">
        <v>243.71</v>
      </c>
      <c r="E95" s="3">
        <v>53.98</v>
      </c>
      <c r="F95" s="3">
        <v>94.56</v>
      </c>
      <c r="G95" s="3">
        <v>43.3</v>
      </c>
      <c r="H95" s="3">
        <v>107.0</v>
      </c>
      <c r="I95" s="3">
        <v>350.0</v>
      </c>
      <c r="K95" s="3"/>
    </row>
    <row r="96" ht="15.75" customHeight="1"/>
    <row r="97" ht="15.75" customHeight="1">
      <c r="A97" s="1">
        <v>42278.0</v>
      </c>
    </row>
    <row r="98" ht="15.75" customHeight="1">
      <c r="A98" s="2" t="s">
        <v>0</v>
      </c>
      <c r="B98" s="3">
        <v>8.42</v>
      </c>
      <c r="C98" s="3">
        <v>243.71</v>
      </c>
      <c r="D98" s="3">
        <v>53.98</v>
      </c>
      <c r="E98" s="3">
        <v>43.3</v>
      </c>
      <c r="F98" s="3">
        <v>350.0</v>
      </c>
      <c r="G98" s="3">
        <v>13.3</v>
      </c>
      <c r="H98" s="3">
        <v>107.0</v>
      </c>
      <c r="I98" s="3">
        <v>319.9</v>
      </c>
      <c r="K98" s="3"/>
    </row>
    <row r="99" ht="15.75" customHeight="1"/>
    <row r="100" ht="15.75" customHeight="1">
      <c r="A100" s="1">
        <v>42278.0</v>
      </c>
    </row>
    <row r="101" ht="15.75" customHeight="1">
      <c r="A101" s="2" t="s">
        <v>0</v>
      </c>
      <c r="B101" s="3">
        <v>8.42</v>
      </c>
      <c r="C101" s="3">
        <v>243.71</v>
      </c>
      <c r="D101" s="3">
        <v>53.98</v>
      </c>
      <c r="E101" s="3">
        <v>43.3</v>
      </c>
      <c r="F101" s="3">
        <v>350.0</v>
      </c>
      <c r="G101" s="3">
        <v>319.0</v>
      </c>
      <c r="H101" s="3">
        <v>65.8</v>
      </c>
    </row>
    <row r="102" ht="15.75" customHeight="1"/>
    <row r="103" ht="15.75" customHeight="1">
      <c r="A103" s="1">
        <v>42309.0</v>
      </c>
    </row>
    <row r="104" ht="15.75" customHeight="1">
      <c r="A104" s="2" t="s">
        <v>0</v>
      </c>
      <c r="B104" s="3">
        <v>8.42</v>
      </c>
      <c r="C104" s="3">
        <v>350.0</v>
      </c>
      <c r="D104" s="3">
        <v>44.47</v>
      </c>
      <c r="E104" s="3">
        <v>319.9</v>
      </c>
      <c r="F104" s="3">
        <v>230.0</v>
      </c>
    </row>
    <row r="105" ht="15.75" customHeight="1"/>
    <row r="106" ht="15.75" customHeight="1">
      <c r="A106" s="1">
        <v>42339.0</v>
      </c>
    </row>
    <row r="107" ht="15.75" customHeight="1">
      <c r="A107" s="2" t="s">
        <v>0</v>
      </c>
      <c r="B107" s="3">
        <v>350.0</v>
      </c>
      <c r="C107" s="3">
        <v>8.42</v>
      </c>
      <c r="D107" s="3">
        <v>44.47</v>
      </c>
      <c r="E107" s="3">
        <v>46.64</v>
      </c>
      <c r="F107" s="3">
        <v>319.9</v>
      </c>
    </row>
    <row r="108" ht="15.75" customHeight="1"/>
    <row r="109" ht="15.75" customHeight="1">
      <c r="A109" s="1">
        <v>42370.0</v>
      </c>
    </row>
    <row r="110" ht="15.75" customHeight="1">
      <c r="A110" s="2" t="s">
        <v>0</v>
      </c>
      <c r="B110" s="7">
        <v>350.0</v>
      </c>
      <c r="C110" s="7">
        <v>9.3</v>
      </c>
      <c r="D110" s="7">
        <v>319.9</v>
      </c>
      <c r="E110" s="7">
        <v>46.64</v>
      </c>
      <c r="F110" s="7">
        <v>214.17</v>
      </c>
    </row>
    <row r="111" ht="15.75" customHeight="1"/>
    <row r="112" ht="15.75" customHeight="1">
      <c r="A112" s="1">
        <v>42401.0</v>
      </c>
    </row>
    <row r="113" ht="15.75" customHeight="1">
      <c r="A113" s="2" t="s">
        <v>0</v>
      </c>
      <c r="B113" s="7">
        <v>350.0</v>
      </c>
      <c r="C113" s="7">
        <v>41.98</v>
      </c>
      <c r="D113" s="7">
        <v>9.3</v>
      </c>
      <c r="E113" s="7">
        <v>319.9</v>
      </c>
      <c r="F113" s="7">
        <v>214.17</v>
      </c>
    </row>
    <row r="114" ht="15.75" customHeight="1"/>
    <row r="115" ht="15.75" customHeight="1">
      <c r="A115" s="1">
        <v>42430.0</v>
      </c>
    </row>
    <row r="116" ht="15.75" customHeight="1">
      <c r="A116" s="2" t="s">
        <v>0</v>
      </c>
      <c r="B116" s="3">
        <v>105.64</v>
      </c>
      <c r="C116" s="3">
        <v>9.3</v>
      </c>
      <c r="D116" s="3">
        <v>319.9</v>
      </c>
      <c r="E116" s="3">
        <v>214.17</v>
      </c>
      <c r="F116" s="3">
        <v>41.98</v>
      </c>
      <c r="G116" s="3">
        <v>47.14</v>
      </c>
    </row>
    <row r="117" ht="15.75" customHeight="1"/>
    <row r="118" ht="15.75" customHeight="1">
      <c r="A118" s="8" t="s">
        <v>4</v>
      </c>
    </row>
    <row r="119" ht="15.75" customHeight="1">
      <c r="A119" s="2" t="s">
        <v>0</v>
      </c>
      <c r="B119" s="3">
        <v>319.9</v>
      </c>
      <c r="C119" s="3">
        <v>214.17</v>
      </c>
      <c r="D119" s="3">
        <v>9.3</v>
      </c>
      <c r="E119" s="3">
        <v>41.98</v>
      </c>
      <c r="F119" s="3">
        <v>47.14</v>
      </c>
    </row>
    <row r="120" ht="15.75" customHeight="1"/>
    <row r="121" ht="15.75" customHeight="1">
      <c r="A121" s="2" t="s">
        <v>5</v>
      </c>
    </row>
    <row r="122" ht="15.75" customHeight="1">
      <c r="A122" s="2" t="s">
        <v>0</v>
      </c>
      <c r="B122" s="3">
        <v>319.9</v>
      </c>
      <c r="C122" s="3">
        <v>214.17</v>
      </c>
      <c r="D122" s="3">
        <v>9.3</v>
      </c>
      <c r="E122" s="3">
        <v>41.98</v>
      </c>
      <c r="F122" s="3">
        <v>47.14</v>
      </c>
    </row>
    <row r="123" ht="15.75" customHeight="1"/>
    <row r="124" ht="15.75" customHeight="1">
      <c r="A124" s="2" t="s">
        <v>6</v>
      </c>
    </row>
    <row r="125" ht="15.75" customHeight="1">
      <c r="A125" s="2" t="s">
        <v>0</v>
      </c>
      <c r="B125" s="3">
        <v>214.17</v>
      </c>
      <c r="C125" s="3">
        <v>9.3</v>
      </c>
      <c r="D125" s="3">
        <v>41.98</v>
      </c>
      <c r="E125" s="3">
        <v>47.14</v>
      </c>
    </row>
    <row r="126" ht="15.75" customHeight="1"/>
    <row r="127" ht="15.75" customHeight="1">
      <c r="A127" s="2" t="s">
        <v>7</v>
      </c>
    </row>
    <row r="128" ht="15.75" customHeight="1">
      <c r="A128" s="2" t="s">
        <v>0</v>
      </c>
      <c r="B128" s="3">
        <v>214.17</v>
      </c>
      <c r="C128" s="3">
        <v>9.3</v>
      </c>
      <c r="D128" s="3">
        <v>137.5</v>
      </c>
      <c r="E128" s="3">
        <v>77.91</v>
      </c>
      <c r="F128" s="3">
        <v>137.5</v>
      </c>
    </row>
    <row r="129" ht="15.75" customHeight="1"/>
    <row r="130" ht="15.75" customHeight="1">
      <c r="A130" s="2" t="s">
        <v>8</v>
      </c>
    </row>
    <row r="131" ht="15.75" customHeight="1">
      <c r="A131" s="2" t="s">
        <v>0</v>
      </c>
      <c r="B131" s="3">
        <v>214.17</v>
      </c>
      <c r="C131" s="3">
        <v>9.3</v>
      </c>
      <c r="D131" s="3">
        <v>36.92</v>
      </c>
      <c r="E131" s="3">
        <v>45.36</v>
      </c>
      <c r="F131" s="3">
        <v>59.9</v>
      </c>
      <c r="G131" s="3">
        <v>137.5</v>
      </c>
      <c r="H131" s="2">
        <v>-77.91</v>
      </c>
    </row>
    <row r="132" ht="15.75" customHeight="1"/>
    <row r="133" ht="15.75" customHeight="1">
      <c r="A133" s="2" t="s">
        <v>9</v>
      </c>
    </row>
    <row r="134" ht="15.75" customHeight="1">
      <c r="A134" s="2" t="s">
        <v>0</v>
      </c>
      <c r="B134" s="3">
        <v>214.17</v>
      </c>
      <c r="C134" s="3">
        <v>9.3</v>
      </c>
      <c r="D134" s="3">
        <v>59.9</v>
      </c>
    </row>
    <row r="135" ht="15.75" customHeight="1"/>
    <row r="136" ht="15.75" customHeight="1">
      <c r="A136" s="2" t="s">
        <v>10</v>
      </c>
    </row>
    <row r="137" ht="15.75" customHeight="1">
      <c r="A137" s="2" t="s">
        <v>0</v>
      </c>
      <c r="B137" s="3">
        <v>214.17</v>
      </c>
      <c r="C137" s="3">
        <v>9.3</v>
      </c>
      <c r="D137" s="3">
        <v>59.9</v>
      </c>
      <c r="E137" s="3">
        <v>18.0</v>
      </c>
      <c r="F137" s="3">
        <v>33.27</v>
      </c>
      <c r="G137" s="3">
        <v>18.0</v>
      </c>
      <c r="H137" s="3">
        <v>20.0</v>
      </c>
    </row>
    <row r="138" ht="15.75" customHeight="1"/>
    <row r="139" ht="15.75" customHeight="1">
      <c r="A139" s="2" t="s">
        <v>11</v>
      </c>
    </row>
    <row r="140" ht="15.75" customHeight="1">
      <c r="A140" s="2" t="s">
        <v>0</v>
      </c>
      <c r="B140" s="9">
        <v>59.9</v>
      </c>
      <c r="C140" s="9">
        <v>31.98</v>
      </c>
      <c r="D140" s="9">
        <v>9.3</v>
      </c>
      <c r="E140" s="9">
        <v>106.68</v>
      </c>
    </row>
    <row r="141" ht="15.75" customHeight="1"/>
    <row r="142" ht="15.75" customHeight="1">
      <c r="A142" s="2" t="s">
        <v>12</v>
      </c>
    </row>
    <row r="143" ht="15.75" customHeight="1">
      <c r="A143" s="2" t="s">
        <v>0</v>
      </c>
      <c r="B143" s="9">
        <v>59.9</v>
      </c>
      <c r="C143" s="9">
        <v>31.98</v>
      </c>
      <c r="D143" s="9">
        <v>9.95</v>
      </c>
      <c r="E143" s="9">
        <v>106.68</v>
      </c>
      <c r="F143" s="9">
        <v>71.82</v>
      </c>
      <c r="G143" s="9">
        <v>6.75</v>
      </c>
      <c r="H143" s="9">
        <v>10.43</v>
      </c>
      <c r="I143" s="9">
        <v>143.0</v>
      </c>
      <c r="J143" s="9">
        <v>13.35</v>
      </c>
      <c r="K143" s="9">
        <v>17.48</v>
      </c>
    </row>
    <row r="144" ht="15.75" customHeight="1"/>
    <row r="145" ht="15.75" customHeight="1">
      <c r="A145" s="2" t="s">
        <v>13</v>
      </c>
    </row>
    <row r="146" ht="15.75" customHeight="1">
      <c r="A146" s="2" t="s">
        <v>0</v>
      </c>
      <c r="B146" s="7">
        <v>59.9</v>
      </c>
      <c r="C146" s="7">
        <v>31.98</v>
      </c>
      <c r="D146" s="7">
        <v>9.95</v>
      </c>
      <c r="E146" s="7">
        <v>106.68</v>
      </c>
      <c r="F146" s="7">
        <v>50.27</v>
      </c>
      <c r="G146" s="7">
        <v>30.0</v>
      </c>
      <c r="H146" s="7">
        <v>43.8</v>
      </c>
      <c r="I146" s="7">
        <v>143.0</v>
      </c>
      <c r="J146" s="7">
        <v>12.18</v>
      </c>
      <c r="K146" s="7">
        <v>15.03</v>
      </c>
      <c r="L146" s="7">
        <v>10.35</v>
      </c>
      <c r="M146" s="7">
        <v>11.8</v>
      </c>
      <c r="N146" s="7">
        <v>45.0</v>
      </c>
    </row>
    <row r="147" ht="15.75" customHeight="1"/>
    <row r="148" ht="15.75" customHeight="1">
      <c r="A148" s="2" t="s">
        <v>14</v>
      </c>
    </row>
    <row r="149" ht="15.75" customHeight="1">
      <c r="A149" s="2" t="s">
        <v>0</v>
      </c>
      <c r="B149" s="3">
        <v>59.9</v>
      </c>
      <c r="C149" s="3">
        <v>31.98</v>
      </c>
      <c r="D149" s="3">
        <v>9.95</v>
      </c>
      <c r="E149" s="3">
        <v>143.0</v>
      </c>
      <c r="F149" s="3">
        <v>43.8</v>
      </c>
      <c r="G149" s="3">
        <v>100.0</v>
      </c>
      <c r="H149" s="3">
        <v>8.99</v>
      </c>
    </row>
    <row r="150" ht="15.75" customHeight="1"/>
    <row r="151" ht="15.75" customHeight="1">
      <c r="A151" s="2" t="s">
        <v>15</v>
      </c>
    </row>
    <row r="152" ht="15.75" customHeight="1">
      <c r="A152" s="2" t="s">
        <v>0</v>
      </c>
      <c r="B152" s="3">
        <v>59.9</v>
      </c>
      <c r="C152" s="3">
        <v>31.98</v>
      </c>
      <c r="D152" s="3">
        <v>9.95</v>
      </c>
      <c r="E152" s="3">
        <v>43.8</v>
      </c>
      <c r="F152" s="3">
        <v>100.0</v>
      </c>
      <c r="G152" s="3">
        <v>21.41</v>
      </c>
    </row>
    <row r="153" ht="15.75" customHeight="1"/>
    <row r="154" ht="15.75" customHeight="1">
      <c r="A154" s="2" t="s">
        <v>16</v>
      </c>
    </row>
    <row r="155" ht="15.75" customHeight="1">
      <c r="A155" s="2" t="s">
        <v>0</v>
      </c>
      <c r="B155" s="3">
        <v>59.9</v>
      </c>
      <c r="C155" s="3">
        <v>31.98</v>
      </c>
      <c r="D155" s="3">
        <v>9.95</v>
      </c>
      <c r="E155" s="3">
        <v>43.8</v>
      </c>
      <c r="F155" s="3">
        <v>100.0</v>
      </c>
      <c r="G155" s="3">
        <v>8.16</v>
      </c>
      <c r="H155" s="3">
        <v>9.15</v>
      </c>
      <c r="I155" s="3">
        <v>6.0</v>
      </c>
      <c r="J155" s="3">
        <v>52.9</v>
      </c>
    </row>
    <row r="156" ht="15.75" customHeight="1"/>
    <row r="157" ht="15.75" customHeight="1">
      <c r="A157" s="2" t="s">
        <v>17</v>
      </c>
    </row>
    <row r="158" ht="15.75" customHeight="1">
      <c r="A158" s="2" t="s">
        <v>0</v>
      </c>
      <c r="B158" s="3">
        <v>59.9</v>
      </c>
      <c r="C158" s="3">
        <v>31.98</v>
      </c>
      <c r="D158" s="3">
        <v>9.95</v>
      </c>
      <c r="E158" s="3">
        <v>43.8</v>
      </c>
      <c r="F158" s="3">
        <v>100.0</v>
      </c>
      <c r="G158" s="3">
        <v>52.9</v>
      </c>
      <c r="H158" s="3">
        <v>7.52</v>
      </c>
    </row>
    <row r="159" ht="15.75" customHeight="1"/>
    <row r="160" ht="15.75" customHeight="1">
      <c r="A160" s="2" t="s">
        <v>18</v>
      </c>
    </row>
    <row r="161" ht="15.75" customHeight="1">
      <c r="A161" s="2" t="s">
        <v>0</v>
      </c>
      <c r="B161" s="10">
        <v>31.98</v>
      </c>
      <c r="C161" s="10">
        <v>9.95</v>
      </c>
      <c r="D161" s="10">
        <v>125.0</v>
      </c>
      <c r="E161" s="10">
        <v>52.9</v>
      </c>
    </row>
    <row r="162" ht="15.75" customHeight="1"/>
    <row r="163" ht="15.75" customHeight="1">
      <c r="A163" s="2" t="s">
        <v>19</v>
      </c>
    </row>
    <row r="164" ht="15.75" customHeight="1">
      <c r="A164" s="2" t="s">
        <v>0</v>
      </c>
      <c r="B164" s="7">
        <v>31.98</v>
      </c>
      <c r="C164" s="7">
        <v>9.95</v>
      </c>
      <c r="D164" s="7">
        <v>125.0</v>
      </c>
      <c r="E164" s="7">
        <v>62.54</v>
      </c>
      <c r="F164" s="7">
        <v>13.98</v>
      </c>
      <c r="G164" s="7">
        <v>52.9</v>
      </c>
      <c r="H164" s="7">
        <v>127.0</v>
      </c>
    </row>
    <row r="165" ht="15.75" customHeight="1">
      <c r="E165" s="7"/>
      <c r="F165" s="7"/>
      <c r="G165" s="7"/>
      <c r="H165" s="7"/>
    </row>
    <row r="166" ht="15.75" customHeight="1">
      <c r="A166" s="2" t="s">
        <v>20</v>
      </c>
    </row>
    <row r="167" ht="15.75" customHeight="1">
      <c r="A167" s="2" t="s">
        <v>0</v>
      </c>
      <c r="B167" s="3">
        <v>31.98</v>
      </c>
      <c r="C167" s="3">
        <v>9.95</v>
      </c>
      <c r="D167" s="3">
        <v>52.9</v>
      </c>
      <c r="E167" s="3">
        <v>62.54</v>
      </c>
      <c r="F167" s="3">
        <v>13.98</v>
      </c>
      <c r="G167" s="3">
        <v>127.0</v>
      </c>
      <c r="H167" s="3">
        <v>285.0</v>
      </c>
      <c r="I167" s="3">
        <v>17.88</v>
      </c>
    </row>
    <row r="168" ht="15.75" customHeight="1"/>
    <row r="169" ht="15.75" customHeight="1">
      <c r="A169" s="2" t="s">
        <v>21</v>
      </c>
    </row>
    <row r="170" ht="15.75" customHeight="1">
      <c r="A170" s="2" t="s">
        <v>0</v>
      </c>
      <c r="B170" s="3">
        <v>62.54</v>
      </c>
      <c r="C170" s="3">
        <v>13.98</v>
      </c>
      <c r="D170" s="3">
        <v>127.0</v>
      </c>
      <c r="E170" s="3">
        <v>285.0</v>
      </c>
      <c r="F170" s="3">
        <v>9.95</v>
      </c>
      <c r="G170" s="3">
        <v>52.9</v>
      </c>
    </row>
    <row r="171" ht="15.75" customHeight="1"/>
    <row r="172" ht="15.75" customHeight="1">
      <c r="A172" s="2" t="s">
        <v>22</v>
      </c>
    </row>
    <row r="173" ht="15.75" customHeight="1">
      <c r="A173" s="2" t="s">
        <v>0</v>
      </c>
      <c r="B173" s="3">
        <v>59.7</v>
      </c>
      <c r="C173" s="3">
        <v>62.54</v>
      </c>
      <c r="D173" s="3">
        <v>13.98</v>
      </c>
      <c r="E173" s="3">
        <v>127.0</v>
      </c>
      <c r="F173" s="3">
        <v>285.0</v>
      </c>
      <c r="G173" s="3">
        <v>16.28</v>
      </c>
      <c r="H173" s="3">
        <v>16.58</v>
      </c>
      <c r="I173" s="3">
        <v>52.9</v>
      </c>
      <c r="J173" s="3">
        <v>9.95</v>
      </c>
    </row>
    <row r="174" ht="15.75" customHeight="1"/>
    <row r="175" ht="15.75" customHeight="1">
      <c r="A175" s="2" t="s">
        <v>23</v>
      </c>
    </row>
    <row r="176" ht="15.75" customHeight="1">
      <c r="A176" s="2" t="s">
        <v>0</v>
      </c>
      <c r="B176" s="3">
        <v>62.54</v>
      </c>
      <c r="C176" s="3">
        <v>13.98</v>
      </c>
      <c r="D176" s="3">
        <v>127.0</v>
      </c>
      <c r="E176" s="3">
        <v>285.0</v>
      </c>
      <c r="F176" s="3">
        <v>111.94</v>
      </c>
      <c r="G176" s="3">
        <v>9.89</v>
      </c>
      <c r="H176" s="3">
        <v>18.38</v>
      </c>
      <c r="I176" s="3">
        <v>52.9</v>
      </c>
    </row>
    <row r="177" ht="15.75" customHeight="1"/>
    <row r="178" ht="15.75" customHeight="1">
      <c r="A178" s="2" t="s">
        <v>24</v>
      </c>
    </row>
    <row r="179" ht="15.75" customHeight="1">
      <c r="A179" s="2" t="s">
        <v>0</v>
      </c>
      <c r="B179" s="3">
        <v>62.54</v>
      </c>
      <c r="C179" s="3">
        <v>127.0</v>
      </c>
      <c r="D179" s="3">
        <v>111.94</v>
      </c>
      <c r="E179" s="3">
        <v>12.85</v>
      </c>
      <c r="F179" s="3">
        <v>10.23</v>
      </c>
      <c r="G179" s="3">
        <v>52.9</v>
      </c>
    </row>
    <row r="180" ht="15.75" customHeight="1"/>
    <row r="181" ht="15.75" customHeight="1">
      <c r="A181" s="2" t="s">
        <v>25</v>
      </c>
    </row>
    <row r="182" ht="15.75" customHeight="1">
      <c r="A182" s="2" t="s">
        <v>0</v>
      </c>
      <c r="B182" s="7">
        <v>62.54</v>
      </c>
      <c r="C182" s="7">
        <v>127.0</v>
      </c>
      <c r="D182" s="7">
        <v>111.94</v>
      </c>
      <c r="E182" s="7">
        <v>52.98</v>
      </c>
      <c r="F182" s="7">
        <v>10.23</v>
      </c>
      <c r="G182" s="7">
        <v>52.9</v>
      </c>
    </row>
    <row r="183" ht="15.75" customHeight="1"/>
    <row r="184" ht="15.75" customHeight="1">
      <c r="A184" s="2" t="s">
        <v>26</v>
      </c>
    </row>
    <row r="185" ht="15.75" customHeight="1">
      <c r="A185" s="2" t="s">
        <v>0</v>
      </c>
      <c r="B185" s="3">
        <v>62.54</v>
      </c>
      <c r="C185" s="3">
        <v>127.0</v>
      </c>
      <c r="D185" s="3">
        <v>111.94</v>
      </c>
      <c r="E185" s="3">
        <v>52.98</v>
      </c>
      <c r="F185" s="3">
        <v>10.23</v>
      </c>
    </row>
    <row r="186" ht="15.75" customHeight="1"/>
    <row r="187" ht="15.75" customHeight="1">
      <c r="A187" s="2" t="s">
        <v>27</v>
      </c>
    </row>
    <row r="188" ht="15.75" customHeight="1">
      <c r="A188" s="2" t="s">
        <v>0</v>
      </c>
      <c r="B188" s="3">
        <v>127.0</v>
      </c>
      <c r="C188" s="3">
        <v>111.94</v>
      </c>
      <c r="D188" s="3">
        <v>52.98</v>
      </c>
      <c r="E188" s="3">
        <v>98.55</v>
      </c>
      <c r="F188" s="3">
        <v>10.23</v>
      </c>
      <c r="G188" s="3">
        <v>42.55</v>
      </c>
    </row>
    <row r="189" ht="15.75" customHeight="1"/>
    <row r="190" ht="15.75" customHeight="1">
      <c r="A190" s="2" t="s">
        <v>28</v>
      </c>
    </row>
    <row r="191" ht="15.75" customHeight="1">
      <c r="A191" s="2" t="s">
        <v>0</v>
      </c>
      <c r="B191" s="3">
        <v>127.0</v>
      </c>
      <c r="C191" s="3">
        <v>52.98</v>
      </c>
      <c r="D191" s="3">
        <v>98.55</v>
      </c>
      <c r="E191" s="3">
        <v>12.27</v>
      </c>
      <c r="F191" s="3">
        <v>9.9</v>
      </c>
      <c r="G191" s="3">
        <v>109.9</v>
      </c>
      <c r="H191" s="3">
        <v>39.9</v>
      </c>
      <c r="I191" s="3">
        <v>10.23</v>
      </c>
      <c r="J191" s="3">
        <v>12.01</v>
      </c>
      <c r="K191" s="3">
        <v>6.0</v>
      </c>
    </row>
    <row r="192" ht="15.75" customHeight="1"/>
    <row r="193" ht="15.75" customHeight="1">
      <c r="A193" s="2" t="s">
        <v>29</v>
      </c>
    </row>
    <row r="194" ht="15.75" customHeight="1">
      <c r="A194" s="2" t="s">
        <v>0</v>
      </c>
      <c r="B194" s="3">
        <v>52.98</v>
      </c>
      <c r="C194" s="3">
        <v>98.55</v>
      </c>
      <c r="D194" s="3">
        <v>8.55</v>
      </c>
      <c r="E194" s="3">
        <v>10.23</v>
      </c>
      <c r="F194" s="3">
        <v>304.0</v>
      </c>
      <c r="G194" s="3">
        <v>54.71</v>
      </c>
      <c r="H194" s="3">
        <v>9.57</v>
      </c>
    </row>
    <row r="195" ht="15.75" customHeight="1"/>
    <row r="196" ht="15.75" customHeight="1">
      <c r="A196" s="2" t="s">
        <v>30</v>
      </c>
    </row>
    <row r="197" ht="15.75" customHeight="1">
      <c r="A197" s="2" t="s">
        <v>0</v>
      </c>
      <c r="B197" s="3">
        <v>34.84</v>
      </c>
      <c r="C197" s="3">
        <v>98.55</v>
      </c>
      <c r="D197" s="3">
        <v>54.71</v>
      </c>
      <c r="E197" s="3">
        <v>9.15</v>
      </c>
      <c r="F197" s="3">
        <v>55.0</v>
      </c>
      <c r="G197" s="3">
        <v>22.84</v>
      </c>
      <c r="H197" s="3">
        <v>10.23</v>
      </c>
    </row>
    <row r="198" ht="15.75" customHeight="1"/>
    <row r="199" ht="15.75" customHeight="1">
      <c r="A199" s="2" t="s">
        <v>31</v>
      </c>
    </row>
    <row r="200" ht="15.75" customHeight="1">
      <c r="A200" s="2" t="s">
        <v>0</v>
      </c>
      <c r="B200" s="7">
        <v>50.58</v>
      </c>
      <c r="C200" s="7">
        <v>16.0</v>
      </c>
      <c r="D200" s="7">
        <v>98.55</v>
      </c>
      <c r="E200" s="7">
        <v>54.71</v>
      </c>
      <c r="F200" s="7">
        <v>55.0</v>
      </c>
      <c r="G200" s="7">
        <v>6.0</v>
      </c>
      <c r="H200" s="7">
        <v>6.75</v>
      </c>
      <c r="I200" s="7">
        <v>0.75</v>
      </c>
      <c r="J200" s="7">
        <v>10.23</v>
      </c>
      <c r="K200" s="7">
        <v>13.04</v>
      </c>
      <c r="L200" s="7">
        <v>11.79</v>
      </c>
    </row>
    <row r="201" ht="15.75" customHeight="1"/>
    <row r="202" ht="15.75" customHeight="1">
      <c r="A202" s="2" t="s">
        <v>32</v>
      </c>
    </row>
    <row r="203" ht="15.75" customHeight="1">
      <c r="A203" s="2" t="s">
        <v>0</v>
      </c>
      <c r="B203" s="3">
        <v>12.0</v>
      </c>
      <c r="C203" s="3">
        <v>10.79</v>
      </c>
      <c r="D203" s="3">
        <v>54.71</v>
      </c>
      <c r="E203" s="3">
        <v>55.0</v>
      </c>
      <c r="F203" s="3">
        <v>6.75</v>
      </c>
      <c r="G203" s="3">
        <v>12.61</v>
      </c>
      <c r="H203" s="3">
        <v>15.53</v>
      </c>
      <c r="I203" s="3">
        <v>7.2</v>
      </c>
      <c r="J203" s="3">
        <v>10.23</v>
      </c>
      <c r="K203" s="3">
        <v>7.95</v>
      </c>
      <c r="L203" s="3">
        <v>40.0</v>
      </c>
    </row>
    <row r="204" ht="15.75" customHeight="1"/>
    <row r="205" ht="15.75" customHeight="1">
      <c r="A205" s="2" t="s">
        <v>33</v>
      </c>
    </row>
    <row r="206" ht="15.75" customHeight="1">
      <c r="A206" s="2" t="s">
        <v>0</v>
      </c>
      <c r="B206" s="3">
        <v>12.02</v>
      </c>
      <c r="C206" s="3">
        <v>54.71</v>
      </c>
      <c r="D206" s="3">
        <v>363.26</v>
      </c>
      <c r="E206" s="3">
        <v>10.23</v>
      </c>
    </row>
    <row r="207" ht="15.75" customHeight="1"/>
    <row r="208" ht="15.75" customHeight="1">
      <c r="A208" s="2" t="s">
        <v>34</v>
      </c>
    </row>
    <row r="209" ht="15.75" customHeight="1">
      <c r="A209" s="2" t="s">
        <v>0</v>
      </c>
      <c r="B209" s="3">
        <v>12.02</v>
      </c>
      <c r="C209" s="3">
        <v>54.71</v>
      </c>
      <c r="D209" s="3">
        <v>10.23</v>
      </c>
      <c r="E209" s="3">
        <v>363.26</v>
      </c>
    </row>
    <row r="210" ht="15.75" customHeight="1"/>
    <row r="211" ht="15.75" customHeight="1">
      <c r="A211" s="2" t="s">
        <v>35</v>
      </c>
    </row>
    <row r="212" ht="15.75" customHeight="1">
      <c r="A212" s="2" t="s">
        <v>0</v>
      </c>
      <c r="B212" s="3">
        <v>12.02</v>
      </c>
      <c r="C212" s="3">
        <v>54.71</v>
      </c>
      <c r="D212" s="3">
        <v>10.64</v>
      </c>
      <c r="E212" s="3">
        <v>363.26</v>
      </c>
      <c r="F212" s="3">
        <v>14.12</v>
      </c>
      <c r="G212" s="3">
        <v>8.72</v>
      </c>
      <c r="H212" s="3">
        <v>89.9</v>
      </c>
      <c r="I212" s="3">
        <v>7.82</v>
      </c>
      <c r="J212" s="3">
        <v>7.04</v>
      </c>
      <c r="K212" s="3">
        <v>11.67</v>
      </c>
      <c r="L212" s="3">
        <v>12.11</v>
      </c>
    </row>
    <row r="213" ht="15.75" customHeight="1"/>
    <row r="214" ht="15.75" customHeight="1">
      <c r="A214" s="2" t="s">
        <v>36</v>
      </c>
    </row>
    <row r="215" ht="15.75" customHeight="1">
      <c r="A215" s="2" t="s">
        <v>0</v>
      </c>
      <c r="B215" s="3">
        <v>10.64</v>
      </c>
      <c r="C215" s="3">
        <v>54.71</v>
      </c>
      <c r="D215" s="3">
        <v>14.98</v>
      </c>
      <c r="E215" s="3">
        <v>6.75</v>
      </c>
      <c r="F215" s="3">
        <v>8.55</v>
      </c>
      <c r="G215" s="3">
        <v>14.08</v>
      </c>
      <c r="H215" s="3">
        <v>89.9</v>
      </c>
    </row>
    <row r="216" ht="15.75" customHeight="1"/>
    <row r="217" ht="15.75" customHeight="1">
      <c r="A217" s="11">
        <v>43525.0</v>
      </c>
    </row>
    <row r="218" ht="15.75" customHeight="1">
      <c r="A218" s="2" t="s">
        <v>0</v>
      </c>
      <c r="B218" s="3">
        <v>54.71</v>
      </c>
      <c r="C218" s="3">
        <v>10.64</v>
      </c>
      <c r="D218" s="3">
        <v>25.08</v>
      </c>
      <c r="E218" s="3">
        <v>89.9</v>
      </c>
      <c r="F218" s="3">
        <v>11.07</v>
      </c>
      <c r="G218" s="3">
        <v>7.54</v>
      </c>
      <c r="H218" s="3">
        <v>6.75</v>
      </c>
      <c r="I218" s="3">
        <v>6.75</v>
      </c>
      <c r="J218" s="3">
        <v>6.75</v>
      </c>
      <c r="K218" s="3">
        <v>11.04</v>
      </c>
    </row>
    <row r="219" ht="15.75" customHeight="1"/>
    <row r="220" ht="15.75" customHeight="1">
      <c r="A220" s="11">
        <v>43556.0</v>
      </c>
    </row>
    <row r="221" ht="15.75" customHeight="1">
      <c r="A221" s="2" t="s">
        <v>0</v>
      </c>
      <c r="B221" s="3">
        <v>89.9</v>
      </c>
      <c r="C221" s="3">
        <v>5.5</v>
      </c>
      <c r="D221" s="3">
        <v>6.75</v>
      </c>
      <c r="E221" s="3">
        <v>5.1</v>
      </c>
      <c r="F221" s="3">
        <v>10.64</v>
      </c>
      <c r="G221" s="3">
        <v>5.5</v>
      </c>
      <c r="H221" s="3">
        <v>6.75</v>
      </c>
      <c r="I221" s="3">
        <v>9.54</v>
      </c>
      <c r="J221" s="3">
        <v>50.16</v>
      </c>
      <c r="K221" s="3">
        <v>7.37</v>
      </c>
    </row>
    <row r="222" ht="15.75" customHeight="1"/>
    <row r="223" ht="15.75" customHeight="1">
      <c r="A223" s="11" t="s">
        <v>37</v>
      </c>
    </row>
    <row r="224" ht="15.75" customHeight="1">
      <c r="A224" s="2" t="s">
        <v>0</v>
      </c>
      <c r="B224" s="3">
        <v>10.64</v>
      </c>
      <c r="C224" s="3">
        <v>89.9</v>
      </c>
      <c r="D224" s="3">
        <v>5.5</v>
      </c>
      <c r="E224" s="3">
        <v>5.55</v>
      </c>
      <c r="F224" s="3">
        <v>5.55</v>
      </c>
      <c r="G224" s="3">
        <v>38.62</v>
      </c>
      <c r="H224" s="3">
        <v>9.32</v>
      </c>
      <c r="I224" s="3">
        <v>13.09</v>
      </c>
      <c r="J224" s="3">
        <v>14.89</v>
      </c>
      <c r="K224" s="3">
        <v>5.55</v>
      </c>
      <c r="L224" s="3">
        <v>98.12</v>
      </c>
    </row>
    <row r="225" ht="15.75" customHeight="1"/>
    <row r="226" ht="15.75" customHeight="1">
      <c r="A226" s="2" t="s">
        <v>38</v>
      </c>
      <c r="B226" s="3">
        <v>89.9</v>
      </c>
      <c r="C226" s="3">
        <v>38.62</v>
      </c>
      <c r="D226" s="3">
        <v>5.55</v>
      </c>
      <c r="E226" s="3">
        <v>69.9</v>
      </c>
      <c r="F226" s="3">
        <v>5.55</v>
      </c>
      <c r="G226" s="3">
        <v>10.64</v>
      </c>
      <c r="H226" s="3">
        <v>8.89</v>
      </c>
      <c r="I226" s="3">
        <v>-154.54</v>
      </c>
    </row>
    <row r="227" ht="15.75" customHeight="1">
      <c r="A227" s="2" t="s">
        <v>0</v>
      </c>
    </row>
    <row r="228" ht="15.75" customHeight="1"/>
    <row r="229" ht="15.75" customHeight="1">
      <c r="A229" s="2" t="s">
        <v>39</v>
      </c>
      <c r="B229" s="3">
        <v>89.9</v>
      </c>
      <c r="C229" s="3">
        <v>38.62</v>
      </c>
      <c r="D229" s="3">
        <v>10.19</v>
      </c>
      <c r="E229" s="3">
        <v>11.02</v>
      </c>
      <c r="F229" s="3">
        <v>5.55</v>
      </c>
      <c r="G229" s="3">
        <v>5.65</v>
      </c>
      <c r="H229" s="3">
        <v>116.66</v>
      </c>
      <c r="I229" s="3">
        <v>35.0</v>
      </c>
      <c r="J229" s="3">
        <v>5.55</v>
      </c>
      <c r="K229" s="3">
        <v>10.64</v>
      </c>
      <c r="L229" s="3">
        <v>5.55</v>
      </c>
      <c r="M229" s="3">
        <v>6.0</v>
      </c>
    </row>
    <row r="230" ht="15.75" customHeight="1">
      <c r="A230" s="2" t="s">
        <v>0</v>
      </c>
    </row>
    <row r="231" ht="15.75" customHeight="1"/>
    <row r="232" ht="15.75" customHeight="1">
      <c r="A232" s="2" t="s">
        <v>40</v>
      </c>
    </row>
    <row r="233" ht="15.75" customHeight="1">
      <c r="A233" s="2" t="s">
        <v>0</v>
      </c>
      <c r="B233" s="3">
        <v>116.66</v>
      </c>
      <c r="C233" s="3">
        <v>35.0</v>
      </c>
      <c r="D233" s="3">
        <v>38.62</v>
      </c>
      <c r="E233" s="3">
        <v>89.9</v>
      </c>
      <c r="F233" s="3">
        <v>13.65</v>
      </c>
      <c r="G233" s="3">
        <v>22.55</v>
      </c>
      <c r="H233" s="3">
        <v>10.0</v>
      </c>
      <c r="I233" s="3">
        <v>100.0</v>
      </c>
      <c r="J233" s="3">
        <v>10.64</v>
      </c>
      <c r="K233" s="3">
        <v>130.09</v>
      </c>
      <c r="L233" s="3">
        <v>5.55</v>
      </c>
    </row>
    <row r="234" ht="15.75" customHeight="1"/>
    <row r="235" ht="15.75" customHeight="1">
      <c r="A235" s="2" t="s">
        <v>32</v>
      </c>
    </row>
    <row r="236" ht="15.75" customHeight="1">
      <c r="A236" s="2" t="s">
        <v>0</v>
      </c>
      <c r="B236" s="3">
        <v>116.66</v>
      </c>
      <c r="C236" s="3">
        <v>89.9</v>
      </c>
      <c r="D236" s="3">
        <v>5.55</v>
      </c>
      <c r="E236" s="3">
        <v>6.09</v>
      </c>
      <c r="F236" s="3">
        <v>10.74</v>
      </c>
      <c r="G236" s="3">
        <v>14.1</v>
      </c>
      <c r="H236" s="3">
        <v>8.8</v>
      </c>
      <c r="I236" s="3">
        <v>8.81</v>
      </c>
      <c r="J236" s="3">
        <v>90.37</v>
      </c>
      <c r="K236" s="3">
        <v>5.79</v>
      </c>
      <c r="L236" s="3">
        <v>5.55</v>
      </c>
      <c r="M236" s="3">
        <v>5.55</v>
      </c>
      <c r="N236" s="3">
        <v>10.64</v>
      </c>
    </row>
    <row r="237" ht="15.75" customHeight="1"/>
    <row r="238" ht="15.75" customHeight="1">
      <c r="A238" s="2" t="s">
        <v>33</v>
      </c>
    </row>
    <row r="239" ht="15.75" customHeight="1">
      <c r="A239" s="2" t="s">
        <v>0</v>
      </c>
      <c r="B239" s="3">
        <v>89.9</v>
      </c>
      <c r="C239" s="3">
        <v>10.64</v>
      </c>
      <c r="D239" s="3">
        <v>8.91</v>
      </c>
      <c r="E239" s="3">
        <v>6.31</v>
      </c>
      <c r="F239" s="3">
        <v>65.89</v>
      </c>
      <c r="G239" s="3">
        <v>50.41</v>
      </c>
      <c r="H239" s="3">
        <v>24.0</v>
      </c>
      <c r="I239" s="3">
        <v>13.0</v>
      </c>
      <c r="J239" s="3">
        <v>32.5</v>
      </c>
      <c r="K239" s="3">
        <v>5.55</v>
      </c>
      <c r="L239" s="3">
        <v>30.0</v>
      </c>
    </row>
    <row r="240" ht="15.75" customHeight="1"/>
    <row r="241" ht="15.75" customHeight="1">
      <c r="A241" s="2" t="s">
        <v>34</v>
      </c>
    </row>
    <row r="242" ht="15.75" customHeight="1">
      <c r="A242" s="2" t="s">
        <v>0</v>
      </c>
      <c r="B242" s="3">
        <v>24.0</v>
      </c>
      <c r="C242" s="3">
        <v>32.5</v>
      </c>
      <c r="D242" s="3">
        <v>5.55</v>
      </c>
      <c r="E242" s="3">
        <v>334.55</v>
      </c>
      <c r="F242" s="3">
        <v>54.54</v>
      </c>
      <c r="G242" s="3">
        <v>53.54</v>
      </c>
      <c r="H242" s="3">
        <v>9.28</v>
      </c>
      <c r="I242" s="3">
        <v>9.71</v>
      </c>
      <c r="J242" s="3">
        <v>5.55</v>
      </c>
      <c r="K242" s="3">
        <v>5.98</v>
      </c>
      <c r="L242" s="3">
        <v>90.0</v>
      </c>
      <c r="M242" s="3">
        <v>83.17</v>
      </c>
      <c r="N242" s="3">
        <v>8.83</v>
      </c>
      <c r="O242" s="3">
        <v>8.98</v>
      </c>
      <c r="P242" s="3">
        <v>5.55</v>
      </c>
      <c r="Q242" s="3">
        <v>8.97</v>
      </c>
      <c r="R242" s="3">
        <v>5.55</v>
      </c>
      <c r="S242" s="3">
        <v>10.64</v>
      </c>
    </row>
    <row r="243" ht="15.75" customHeight="1"/>
    <row r="244" ht="15.75" customHeight="1">
      <c r="A244" s="2" t="s">
        <v>41</v>
      </c>
    </row>
    <row r="245" ht="15.75" customHeight="1">
      <c r="A245" s="2" t="s">
        <v>0</v>
      </c>
      <c r="B245" s="3">
        <v>334.55</v>
      </c>
      <c r="C245" s="3">
        <v>54.54</v>
      </c>
      <c r="D245" s="3">
        <v>53.54</v>
      </c>
      <c r="E245" s="3">
        <v>83.17</v>
      </c>
      <c r="F245" s="3">
        <v>8.59</v>
      </c>
      <c r="G245" s="3">
        <v>7.64</v>
      </c>
      <c r="H245" s="3">
        <v>6.0</v>
      </c>
      <c r="I245" s="3">
        <v>9.81</v>
      </c>
      <c r="J245" s="3">
        <v>60.85</v>
      </c>
      <c r="K245" s="3">
        <v>255.34</v>
      </c>
      <c r="L245" s="3">
        <v>109.99</v>
      </c>
      <c r="M245" s="3">
        <v>10.02</v>
      </c>
    </row>
    <row r="246" ht="15.75" customHeight="1"/>
    <row r="247" ht="15.75" customHeight="1">
      <c r="A247" s="2" t="s">
        <v>42</v>
      </c>
    </row>
    <row r="248" ht="15.75" customHeight="1">
      <c r="A248" s="2" t="s">
        <v>0</v>
      </c>
      <c r="B248" s="3">
        <v>54.54</v>
      </c>
      <c r="C248" s="3">
        <v>53.54</v>
      </c>
      <c r="D248" s="3">
        <v>83.17</v>
      </c>
      <c r="E248" s="3">
        <v>60.85</v>
      </c>
      <c r="F248" s="3">
        <v>5.31</v>
      </c>
      <c r="G248" s="3">
        <v>334.55</v>
      </c>
      <c r="H248" s="3">
        <v>4.73</v>
      </c>
      <c r="I248" s="3">
        <v>5.4</v>
      </c>
      <c r="J248" s="3">
        <v>4.8</v>
      </c>
      <c r="K248" s="3">
        <v>5.08</v>
      </c>
      <c r="L248" s="3">
        <v>50.0</v>
      </c>
      <c r="M248" s="3">
        <v>40.0</v>
      </c>
      <c r="N248" s="3">
        <v>5.55</v>
      </c>
      <c r="O248" s="3">
        <v>10.98</v>
      </c>
      <c r="P248" s="3">
        <v>8.94</v>
      </c>
      <c r="Q248" s="3">
        <v>10.12</v>
      </c>
      <c r="R248" s="3">
        <v>6.01</v>
      </c>
      <c r="S248" s="3">
        <v>5.55</v>
      </c>
    </row>
    <row r="249" ht="15.75" customHeight="1"/>
    <row r="250" ht="15.75" customHeight="1">
      <c r="A250" s="2" t="s">
        <v>43</v>
      </c>
    </row>
    <row r="251" ht="15.75" customHeight="1">
      <c r="A251" s="2" t="s">
        <v>0</v>
      </c>
      <c r="B251" s="3">
        <v>54.54</v>
      </c>
      <c r="C251" s="3">
        <v>53.54</v>
      </c>
      <c r="D251" s="3">
        <v>83.17</v>
      </c>
      <c r="E251" s="3">
        <v>40.0</v>
      </c>
      <c r="F251" s="3">
        <v>11.56</v>
      </c>
      <c r="G251" s="3">
        <v>5.55</v>
      </c>
      <c r="H251" s="3">
        <v>167.27</v>
      </c>
      <c r="I251" s="3">
        <v>5.55</v>
      </c>
      <c r="J251" s="3">
        <v>14.02</v>
      </c>
      <c r="K251" s="3">
        <v>5.65</v>
      </c>
      <c r="L251" s="3">
        <v>5.55</v>
      </c>
      <c r="M251" s="3">
        <v>12.21</v>
      </c>
      <c r="N251" s="3">
        <v>5.55</v>
      </c>
      <c r="O251" s="3">
        <v>5.94</v>
      </c>
      <c r="P251" s="3">
        <v>187.34</v>
      </c>
      <c r="Q251" s="3">
        <v>12.56</v>
      </c>
      <c r="R251" s="3">
        <v>13.55</v>
      </c>
      <c r="S251" s="3">
        <v>27.22</v>
      </c>
      <c r="T251" s="3">
        <v>5.64</v>
      </c>
      <c r="U251" s="3">
        <v>10.98</v>
      </c>
      <c r="W251" s="2">
        <v>728.39</v>
      </c>
    </row>
    <row r="252" ht="15.75" customHeight="1"/>
    <row r="253" ht="15.75" customHeight="1">
      <c r="A253" s="2" t="s">
        <v>44</v>
      </c>
    </row>
    <row r="254" ht="15.75" customHeight="1">
      <c r="A254" s="2" t="s">
        <v>0</v>
      </c>
      <c r="B254" s="3">
        <v>103.2</v>
      </c>
      <c r="C254" s="3">
        <v>54.54</v>
      </c>
      <c r="D254" s="3">
        <v>53.54</v>
      </c>
      <c r="E254" s="3">
        <v>83.17</v>
      </c>
      <c r="F254" s="3">
        <v>187.34</v>
      </c>
      <c r="G254" s="3">
        <v>27.22</v>
      </c>
      <c r="H254" s="3">
        <v>167.27</v>
      </c>
      <c r="I254" s="3">
        <v>12.27</v>
      </c>
      <c r="J254" s="3">
        <v>14.21</v>
      </c>
      <c r="K254" s="3">
        <v>43.95</v>
      </c>
      <c r="L254" s="3">
        <v>5.42</v>
      </c>
      <c r="M254" s="3">
        <v>42.0</v>
      </c>
      <c r="N254" s="3">
        <v>30.0</v>
      </c>
      <c r="O254" s="3">
        <v>10.98</v>
      </c>
      <c r="P254" s="3">
        <v>5.73</v>
      </c>
      <c r="Q254" s="3">
        <v>108.04</v>
      </c>
    </row>
    <row r="255" ht="15.75" customHeight="1"/>
    <row r="256" ht="15.75" customHeight="1">
      <c r="A256" s="2" t="s">
        <v>45</v>
      </c>
      <c r="B256" s="3">
        <v>54.54</v>
      </c>
      <c r="C256" s="3">
        <v>53.54</v>
      </c>
      <c r="D256" s="3">
        <v>83.17</v>
      </c>
      <c r="E256" s="3">
        <v>187.34</v>
      </c>
      <c r="F256" s="3">
        <v>27.22</v>
      </c>
      <c r="G256" s="3">
        <v>43.95</v>
      </c>
      <c r="H256" s="3">
        <v>80.56</v>
      </c>
      <c r="I256" s="3">
        <v>167.27</v>
      </c>
      <c r="J256" s="3">
        <v>5.73</v>
      </c>
      <c r="K256" s="3">
        <v>5.73</v>
      </c>
      <c r="L256" s="3">
        <v>6.29</v>
      </c>
      <c r="M256" s="3">
        <v>5.73</v>
      </c>
      <c r="N256" s="3">
        <v>5.73</v>
      </c>
      <c r="O256" s="3">
        <v>10.98</v>
      </c>
      <c r="P256" s="3">
        <v>59.12</v>
      </c>
    </row>
    <row r="257" ht="15.75" customHeight="1">
      <c r="A257" s="2" t="s">
        <v>0</v>
      </c>
    </row>
    <row r="258" ht="15.75" customHeight="1"/>
    <row r="259" ht="15.75" customHeight="1">
      <c r="A259" s="1">
        <v>43983.0</v>
      </c>
    </row>
    <row r="260" ht="15.75" customHeight="1">
      <c r="A260" s="2" t="s">
        <v>0</v>
      </c>
      <c r="B260" s="3">
        <v>54.54</v>
      </c>
      <c r="C260" s="3">
        <v>53.54</v>
      </c>
      <c r="D260" s="3">
        <v>5.73</v>
      </c>
      <c r="E260" s="3">
        <v>5.73</v>
      </c>
      <c r="F260" s="3">
        <v>9.83</v>
      </c>
      <c r="G260" s="3">
        <v>7.77</v>
      </c>
      <c r="H260" s="3">
        <v>12.51</v>
      </c>
      <c r="I260" s="3">
        <v>11.92</v>
      </c>
      <c r="J260" s="3">
        <v>7.5</v>
      </c>
      <c r="K260" s="3">
        <v>7.99</v>
      </c>
      <c r="L260" s="3">
        <v>12.99</v>
      </c>
      <c r="M260" s="3">
        <v>12.99</v>
      </c>
      <c r="N260" s="3">
        <v>6.29</v>
      </c>
      <c r="O260" s="3">
        <v>10.96</v>
      </c>
      <c r="P260" s="3">
        <v>10.98</v>
      </c>
    </row>
    <row r="261" ht="15.75" customHeight="1"/>
    <row r="262" ht="15.75" customHeight="1">
      <c r="A262" s="1">
        <v>44013.0</v>
      </c>
    </row>
    <row r="263" ht="15.75" customHeight="1">
      <c r="A263" s="2" t="s">
        <v>0</v>
      </c>
      <c r="B263" s="3">
        <v>103.2</v>
      </c>
      <c r="C263" s="3">
        <v>54.54</v>
      </c>
      <c r="D263" s="3">
        <v>53.54</v>
      </c>
      <c r="E263" s="3">
        <v>7.99</v>
      </c>
      <c r="F263" s="3">
        <v>12.99</v>
      </c>
      <c r="G263" s="3">
        <v>12.99</v>
      </c>
      <c r="H263" s="3">
        <v>9.31</v>
      </c>
      <c r="I263" s="3">
        <v>8.09</v>
      </c>
      <c r="J263" s="3">
        <v>137.0</v>
      </c>
      <c r="K263" s="3">
        <v>5.66</v>
      </c>
      <c r="L263" s="3">
        <v>10.98</v>
      </c>
      <c r="N263" s="3"/>
    </row>
    <row r="264" ht="15.75" customHeight="1"/>
    <row r="265" ht="15.75" customHeight="1">
      <c r="A265" s="1">
        <v>44044.0</v>
      </c>
    </row>
    <row r="266" ht="15.75" customHeight="1">
      <c r="A266" s="2" t="s">
        <v>0</v>
      </c>
      <c r="B266" s="3">
        <v>54.54</v>
      </c>
      <c r="C266" s="3">
        <v>53.54</v>
      </c>
      <c r="D266" s="3">
        <v>7.99</v>
      </c>
      <c r="E266" s="3">
        <v>12.99</v>
      </c>
      <c r="F266" s="3">
        <v>12.99</v>
      </c>
      <c r="G266" s="3">
        <v>6.97</v>
      </c>
      <c r="H266" s="3">
        <v>7.25</v>
      </c>
      <c r="I266" s="3">
        <v>6.66</v>
      </c>
      <c r="J266" s="3">
        <v>10.53</v>
      </c>
      <c r="K266" s="3">
        <v>4.92</v>
      </c>
      <c r="L266" s="3">
        <v>7.34</v>
      </c>
      <c r="M266" s="3">
        <v>4.54</v>
      </c>
      <c r="N266" s="3">
        <v>34.54</v>
      </c>
      <c r="O266" s="3">
        <v>10.98</v>
      </c>
      <c r="Q266" s="3">
        <v>235.78</v>
      </c>
    </row>
    <row r="267" ht="15.75" customHeight="1"/>
    <row r="268" ht="15.75" customHeight="1">
      <c r="A268" s="1">
        <v>44075.0</v>
      </c>
    </row>
    <row r="269" ht="15.75" customHeight="1">
      <c r="A269" s="2" t="s">
        <v>0</v>
      </c>
      <c r="B269" s="3">
        <v>28.29</v>
      </c>
      <c r="C269" s="3">
        <v>54.54</v>
      </c>
      <c r="D269" s="3">
        <v>53.54</v>
      </c>
      <c r="E269" s="3">
        <v>7.99</v>
      </c>
      <c r="F269" s="3">
        <v>12.99</v>
      </c>
      <c r="G269" s="3">
        <v>12.99</v>
      </c>
      <c r="H269" s="3">
        <v>48.3</v>
      </c>
      <c r="I269" s="3">
        <v>11.93</v>
      </c>
      <c r="J269" s="3">
        <v>117.75</v>
      </c>
      <c r="K269" s="3">
        <v>4.9</v>
      </c>
      <c r="L269" s="3">
        <v>4.59</v>
      </c>
      <c r="M269" s="3">
        <v>8.66</v>
      </c>
      <c r="N269" s="3">
        <v>7.45</v>
      </c>
      <c r="O269" s="3">
        <v>10.74</v>
      </c>
      <c r="P269" s="3">
        <v>10.98</v>
      </c>
      <c r="Q269" s="3">
        <v>52.0</v>
      </c>
    </row>
    <row r="270" ht="15.75" customHeight="1"/>
    <row r="271" ht="15.75" customHeight="1">
      <c r="A271" s="1">
        <v>44105.0</v>
      </c>
    </row>
    <row r="272" ht="15.75" customHeight="1">
      <c r="A272" s="2" t="s">
        <v>0</v>
      </c>
      <c r="B272" s="3">
        <v>7.99</v>
      </c>
      <c r="C272" s="3">
        <v>12.99</v>
      </c>
      <c r="D272" s="3">
        <v>12.99</v>
      </c>
      <c r="E272" s="3">
        <v>48.3</v>
      </c>
      <c r="F272" s="3">
        <v>5.24</v>
      </c>
      <c r="G272" s="3">
        <v>5.24</v>
      </c>
      <c r="H272" s="3">
        <v>6.55</v>
      </c>
      <c r="I272" s="3">
        <v>10.33</v>
      </c>
      <c r="J272" s="3">
        <v>42.5</v>
      </c>
      <c r="K272" s="3">
        <v>100.0</v>
      </c>
      <c r="L272" s="3">
        <v>5.43</v>
      </c>
      <c r="M272" s="3">
        <v>5.38</v>
      </c>
      <c r="N272" s="3">
        <v>7.09</v>
      </c>
      <c r="O272" s="3">
        <v>5.31</v>
      </c>
      <c r="P272" s="3">
        <v>5.09</v>
      </c>
      <c r="Q272" s="3">
        <v>6.01</v>
      </c>
      <c r="R272" s="3">
        <v>10.98</v>
      </c>
      <c r="S272" s="3">
        <v>111.2</v>
      </c>
    </row>
    <row r="273" ht="15.75" customHeight="1"/>
    <row r="274" ht="15.75" customHeight="1">
      <c r="A274" s="1">
        <v>44136.0</v>
      </c>
    </row>
    <row r="275" ht="15.75" customHeight="1">
      <c r="A275" s="2" t="s">
        <v>0</v>
      </c>
      <c r="B275" s="3">
        <v>12.99</v>
      </c>
      <c r="C275" s="3">
        <v>48.3</v>
      </c>
      <c r="D275" s="3">
        <v>42.5</v>
      </c>
      <c r="E275" s="3">
        <v>100.0</v>
      </c>
      <c r="F275" s="3">
        <v>23.71</v>
      </c>
      <c r="G275" s="3">
        <v>8.21</v>
      </c>
      <c r="H275" s="3">
        <v>5.6</v>
      </c>
      <c r="I275" s="3">
        <v>75.0</v>
      </c>
      <c r="J275" s="3">
        <v>4.69</v>
      </c>
      <c r="K275" s="3">
        <v>4.56</v>
      </c>
      <c r="L275" s="3">
        <v>11.08</v>
      </c>
      <c r="M275" s="3">
        <v>51.96</v>
      </c>
      <c r="N275" s="3">
        <v>5.09</v>
      </c>
      <c r="O275" s="3">
        <v>12.19</v>
      </c>
      <c r="P275" s="3">
        <v>4.66</v>
      </c>
      <c r="Q275" s="3">
        <v>5.3</v>
      </c>
      <c r="R275" s="3">
        <v>100.0</v>
      </c>
      <c r="S275" s="3">
        <v>5.34</v>
      </c>
      <c r="T275" s="3">
        <v>10.98</v>
      </c>
      <c r="U275" s="3">
        <v>7.99</v>
      </c>
      <c r="V275" s="3">
        <v>12.99</v>
      </c>
      <c r="W275" s="3">
        <v>36.65</v>
      </c>
      <c r="X275" s="3">
        <v>36.9</v>
      </c>
    </row>
    <row r="276" ht="15.75" customHeight="1">
      <c r="A276" s="2" t="s">
        <v>1</v>
      </c>
      <c r="B276" s="2">
        <f>SUM(B275:AG275)</f>
        <v>626.69</v>
      </c>
    </row>
    <row r="277" ht="15.75" customHeight="1"/>
    <row r="278" ht="15.75" customHeight="1">
      <c r="A278" s="1">
        <v>44166.0</v>
      </c>
    </row>
    <row r="279" ht="15.75" customHeight="1">
      <c r="A279" s="2" t="s">
        <v>0</v>
      </c>
      <c r="B279" s="3">
        <v>54.9</v>
      </c>
      <c r="C279" s="3">
        <v>7.99</v>
      </c>
      <c r="D279" s="3">
        <v>12.99</v>
      </c>
      <c r="E279" s="3">
        <v>12.99</v>
      </c>
      <c r="F279" s="3">
        <v>100.0</v>
      </c>
      <c r="G279" s="3">
        <v>201.74</v>
      </c>
      <c r="H279" s="3">
        <v>11.52</v>
      </c>
      <c r="I279" s="3">
        <v>7.33</v>
      </c>
      <c r="J279" s="3">
        <v>95.75</v>
      </c>
      <c r="K279" s="3">
        <v>5.1</v>
      </c>
      <c r="L279" s="3">
        <v>5.49</v>
      </c>
      <c r="M279" s="3">
        <v>4.37</v>
      </c>
      <c r="N279" s="3">
        <v>11.87</v>
      </c>
      <c r="O279" s="3">
        <v>4.79</v>
      </c>
      <c r="P279" s="3">
        <v>74.85</v>
      </c>
      <c r="Q279" s="3">
        <v>10.98</v>
      </c>
      <c r="R279" s="3">
        <v>5.15</v>
      </c>
      <c r="S279" s="3">
        <v>5.42</v>
      </c>
      <c r="T279" s="3">
        <v>6.0</v>
      </c>
    </row>
    <row r="280" ht="15.75" customHeight="1"/>
    <row r="281" ht="15.75" customHeight="1">
      <c r="A281" s="1">
        <v>44197.0</v>
      </c>
    </row>
    <row r="282" ht="15.75" customHeight="1">
      <c r="A282" s="2" t="s">
        <v>0</v>
      </c>
      <c r="B282" s="3">
        <v>11.99</v>
      </c>
      <c r="C282" s="3">
        <v>10.09</v>
      </c>
      <c r="D282" s="3">
        <v>68.81</v>
      </c>
      <c r="E282" s="3">
        <v>20.75</v>
      </c>
      <c r="F282" s="3">
        <v>29.44</v>
      </c>
      <c r="G282" s="3">
        <v>20.88</v>
      </c>
      <c r="H282" s="3">
        <v>65.0</v>
      </c>
      <c r="I282" s="3">
        <v>96.5</v>
      </c>
      <c r="J282" s="3">
        <v>8.81</v>
      </c>
      <c r="K282" s="3">
        <v>10.98</v>
      </c>
    </row>
    <row r="283" ht="15.75" customHeight="1"/>
    <row r="284" ht="15.75" customHeight="1">
      <c r="A284" s="1">
        <v>44228.0</v>
      </c>
    </row>
    <row r="285" ht="15.75" customHeight="1">
      <c r="A285" s="2" t="s">
        <v>0</v>
      </c>
      <c r="B285" s="3">
        <v>29.44</v>
      </c>
      <c r="C285" s="3">
        <v>7.99</v>
      </c>
      <c r="D285" s="3">
        <v>12.99</v>
      </c>
      <c r="E285" s="3">
        <v>12.99</v>
      </c>
      <c r="F285" s="3">
        <v>100.0</v>
      </c>
      <c r="G285" s="3">
        <v>201.74</v>
      </c>
      <c r="H285" s="3">
        <v>95.75</v>
      </c>
      <c r="I285" s="3">
        <v>74.85</v>
      </c>
      <c r="J285" s="3">
        <v>29.44</v>
      </c>
      <c r="K285" s="3">
        <v>8.46</v>
      </c>
      <c r="L285" s="3">
        <v>7.82</v>
      </c>
      <c r="M285" s="3">
        <v>10.71</v>
      </c>
      <c r="N285" s="3">
        <v>6.01</v>
      </c>
      <c r="O285" s="3">
        <v>4.88</v>
      </c>
      <c r="P285" s="3">
        <v>5.26</v>
      </c>
      <c r="Q285" s="3">
        <v>4.36</v>
      </c>
      <c r="R285" s="3">
        <v>4.02</v>
      </c>
      <c r="S285" s="3">
        <v>10.34</v>
      </c>
      <c r="T285" s="3">
        <v>4.0</v>
      </c>
      <c r="U285" s="3">
        <v>5.21</v>
      </c>
      <c r="V285" s="3">
        <v>4.27</v>
      </c>
      <c r="W285" s="3">
        <v>10.1</v>
      </c>
      <c r="X285" s="3">
        <v>4.95</v>
      </c>
      <c r="Y285" s="3">
        <v>3.75</v>
      </c>
      <c r="Z285" s="3">
        <v>4.31</v>
      </c>
      <c r="AA285" s="3">
        <v>9.46</v>
      </c>
      <c r="AB285" s="3">
        <v>11.45</v>
      </c>
      <c r="AC285" s="3">
        <v>22.95</v>
      </c>
    </row>
    <row r="286" ht="15.75" customHeight="1"/>
    <row r="287" ht="15.75" customHeight="1">
      <c r="A287" s="1">
        <v>44256.0</v>
      </c>
    </row>
    <row r="288" ht="15.75" customHeight="1">
      <c r="A288" s="2" t="s">
        <v>0</v>
      </c>
      <c r="B288" s="3">
        <v>29.44</v>
      </c>
      <c r="C288" s="3">
        <v>135.9</v>
      </c>
      <c r="D288" s="3">
        <v>41.35</v>
      </c>
      <c r="E288" s="3">
        <v>7.99</v>
      </c>
      <c r="F288" s="3">
        <v>12.99</v>
      </c>
      <c r="G288" s="3">
        <v>12.99</v>
      </c>
      <c r="H288" s="3">
        <v>100.0</v>
      </c>
      <c r="I288" s="3">
        <v>201.74</v>
      </c>
      <c r="J288" s="3">
        <v>95.75</v>
      </c>
      <c r="K288" s="3">
        <v>74.85</v>
      </c>
      <c r="L288" s="3">
        <v>29.47</v>
      </c>
      <c r="M288" s="3">
        <v>4.61</v>
      </c>
      <c r="N288" s="3">
        <v>5.55</v>
      </c>
      <c r="O288" s="3">
        <v>6.86</v>
      </c>
      <c r="P288" s="3">
        <v>4.89</v>
      </c>
      <c r="Q288" s="3">
        <v>11.98</v>
      </c>
      <c r="R288" s="3">
        <v>6.16</v>
      </c>
      <c r="S288" s="3">
        <v>164.9</v>
      </c>
      <c r="T288" s="3">
        <v>5.28</v>
      </c>
      <c r="U288" s="3">
        <v>5.35</v>
      </c>
      <c r="V288" s="3">
        <v>5.09</v>
      </c>
      <c r="W288" s="3">
        <v>4.9</v>
      </c>
      <c r="X288" s="3">
        <v>7.77</v>
      </c>
      <c r="Y288" s="3">
        <v>5.02</v>
      </c>
      <c r="Z288" s="3">
        <v>5.07</v>
      </c>
      <c r="AA288" s="3">
        <v>5.02</v>
      </c>
      <c r="AB288" s="3">
        <v>11.02</v>
      </c>
      <c r="AC288" s="3">
        <v>9.02</v>
      </c>
      <c r="AD288" s="3">
        <v>5.06</v>
      </c>
      <c r="AE288" s="3">
        <v>11.45</v>
      </c>
    </row>
    <row r="289" ht="15.75" customHeight="1"/>
    <row r="290" ht="15.75" customHeight="1">
      <c r="A290" s="1">
        <v>44287.0</v>
      </c>
    </row>
    <row r="291" ht="15.75" customHeight="1">
      <c r="A291" s="2" t="s">
        <v>0</v>
      </c>
      <c r="B291" s="3">
        <v>29.44</v>
      </c>
      <c r="C291" s="3">
        <v>7.99</v>
      </c>
      <c r="D291" s="3">
        <v>12.99</v>
      </c>
      <c r="E291" s="3">
        <v>12.99</v>
      </c>
      <c r="F291" s="3">
        <v>100.0</v>
      </c>
      <c r="G291" s="3">
        <v>201.74</v>
      </c>
      <c r="H291" s="3">
        <v>95.75</v>
      </c>
      <c r="I291" s="3">
        <v>74.85</v>
      </c>
      <c r="J291" s="3">
        <v>164.9</v>
      </c>
      <c r="K291" s="3">
        <v>5.5</v>
      </c>
      <c r="L291" s="3">
        <v>7.12</v>
      </c>
      <c r="M291" s="3">
        <v>5.01</v>
      </c>
      <c r="N291" s="3">
        <v>5.9</v>
      </c>
      <c r="O291" s="3">
        <v>5.39</v>
      </c>
      <c r="P291" s="3">
        <v>4.65</v>
      </c>
      <c r="Q291" s="3">
        <v>9.17</v>
      </c>
      <c r="R291" s="3">
        <v>4.98</v>
      </c>
      <c r="S291" s="3">
        <v>5.98</v>
      </c>
      <c r="T291" s="3">
        <v>9.66</v>
      </c>
      <c r="U291" s="3">
        <v>6.71</v>
      </c>
      <c r="V291" s="3">
        <v>6.59</v>
      </c>
      <c r="W291" s="3">
        <v>5.34</v>
      </c>
      <c r="X291" s="3">
        <v>6.0</v>
      </c>
      <c r="Y291" s="3">
        <v>4.66</v>
      </c>
      <c r="Z291" s="3">
        <v>5.54</v>
      </c>
      <c r="AA291" s="3">
        <v>11.45</v>
      </c>
      <c r="AB291" s="3">
        <v>81.99</v>
      </c>
    </row>
    <row r="292" ht="15.75" customHeight="1"/>
    <row r="293" ht="15.75" customHeight="1">
      <c r="A293" s="1">
        <v>44317.0</v>
      </c>
    </row>
    <row r="294" ht="15.75" customHeight="1">
      <c r="A294" s="2" t="s">
        <v>0</v>
      </c>
      <c r="B294" s="3">
        <v>29.44</v>
      </c>
      <c r="C294" s="3">
        <v>54.9</v>
      </c>
      <c r="D294" s="3">
        <v>95.75</v>
      </c>
      <c r="E294" s="3">
        <v>74.85</v>
      </c>
      <c r="F294" s="3">
        <v>29.44</v>
      </c>
      <c r="G294" s="3">
        <v>164.9</v>
      </c>
      <c r="H294" s="3">
        <v>6.07</v>
      </c>
      <c r="I294" s="3">
        <v>5.7</v>
      </c>
      <c r="J294" s="3">
        <v>8.9</v>
      </c>
      <c r="K294" s="3">
        <v>5.35</v>
      </c>
      <c r="L294" s="3">
        <v>103.16</v>
      </c>
      <c r="M294" s="3">
        <v>7.72</v>
      </c>
      <c r="N294" s="3">
        <v>11.93</v>
      </c>
      <c r="O294" s="3">
        <v>6.46</v>
      </c>
      <c r="P294" s="3">
        <v>5.99</v>
      </c>
      <c r="Q294" s="3">
        <v>8.3</v>
      </c>
      <c r="R294" s="3">
        <v>5.83</v>
      </c>
      <c r="S294" s="3">
        <v>8.62</v>
      </c>
      <c r="T294" s="3">
        <v>6.96</v>
      </c>
      <c r="U294" s="3">
        <v>5.58</v>
      </c>
      <c r="V294" s="3">
        <v>4.89</v>
      </c>
      <c r="W294" s="3">
        <v>4.83</v>
      </c>
      <c r="X294" s="3">
        <v>7.51</v>
      </c>
      <c r="Y294" s="3">
        <v>10.9</v>
      </c>
      <c r="Z294" s="3">
        <v>11.5</v>
      </c>
    </row>
    <row r="295" ht="15.75" customHeight="1"/>
    <row r="296" ht="15.75" customHeight="1">
      <c r="A296" s="1">
        <v>44348.0</v>
      </c>
    </row>
    <row r="297" ht="15.75" customHeight="1">
      <c r="A297" s="2" t="s">
        <v>0</v>
      </c>
      <c r="B297" s="3">
        <v>95.75</v>
      </c>
      <c r="C297" s="3">
        <v>74.85</v>
      </c>
      <c r="D297" s="3">
        <v>164.9</v>
      </c>
      <c r="E297" s="3">
        <v>103.16</v>
      </c>
      <c r="F297" s="3">
        <v>10.06</v>
      </c>
      <c r="G297" s="3">
        <v>6.7</v>
      </c>
      <c r="H297" s="3">
        <v>7.69</v>
      </c>
      <c r="I297" s="3">
        <v>7.76</v>
      </c>
      <c r="J297" s="3">
        <v>6.36</v>
      </c>
      <c r="K297" s="3">
        <v>8.15</v>
      </c>
      <c r="L297" s="3">
        <v>51.8</v>
      </c>
      <c r="M297" s="3">
        <v>141.68</v>
      </c>
      <c r="N297" s="3">
        <v>18.85</v>
      </c>
      <c r="O297" s="3">
        <v>11.51</v>
      </c>
      <c r="P297" s="3">
        <v>10.02</v>
      </c>
      <c r="Q297" s="3">
        <v>5.79</v>
      </c>
      <c r="R297" s="3">
        <v>97.9</v>
      </c>
      <c r="S297" s="3">
        <v>51.76</v>
      </c>
      <c r="T297" s="3">
        <v>5.47</v>
      </c>
      <c r="U297" s="3">
        <v>9.17</v>
      </c>
      <c r="V297" s="3">
        <v>11.45</v>
      </c>
      <c r="W297" s="3">
        <v>51.22</v>
      </c>
    </row>
    <row r="298" ht="15.75" customHeight="1"/>
    <row r="299" ht="15.75" customHeight="1">
      <c r="A299" s="1">
        <v>44378.0</v>
      </c>
    </row>
    <row r="300" ht="15.75" customHeight="1">
      <c r="A300" s="2" t="s">
        <v>0</v>
      </c>
      <c r="B300" s="3">
        <v>185.4</v>
      </c>
      <c r="C300" s="3">
        <v>48.12</v>
      </c>
      <c r="D300" s="3">
        <v>95.75</v>
      </c>
      <c r="E300" s="3">
        <v>164.9</v>
      </c>
      <c r="F300" s="3">
        <v>103.16</v>
      </c>
      <c r="G300" s="3">
        <v>51.76</v>
      </c>
      <c r="H300" s="3">
        <v>13.96</v>
      </c>
      <c r="I300" s="3">
        <v>18.94</v>
      </c>
      <c r="J300" s="3">
        <v>5.47</v>
      </c>
      <c r="K300" s="3">
        <v>5.65</v>
      </c>
      <c r="L300" s="3">
        <v>7.63</v>
      </c>
      <c r="M300" s="3">
        <v>5.68</v>
      </c>
      <c r="N300" s="3">
        <v>6.91</v>
      </c>
      <c r="O300" s="3">
        <v>9.85</v>
      </c>
      <c r="P300" s="3">
        <v>174.0</v>
      </c>
      <c r="Q300" s="3">
        <v>5.26</v>
      </c>
      <c r="R300" s="3">
        <v>11.45</v>
      </c>
      <c r="S300" s="3">
        <v>1.46</v>
      </c>
      <c r="T300" s="3">
        <v>6.17</v>
      </c>
      <c r="U300" s="3">
        <v>10.94</v>
      </c>
      <c r="V300" s="12"/>
    </row>
    <row r="301" ht="15.75" customHeight="1"/>
    <row r="302" ht="15.75" customHeight="1">
      <c r="A302" s="1">
        <v>44409.0</v>
      </c>
    </row>
    <row r="303" ht="15.75" customHeight="1">
      <c r="A303" s="2" t="s">
        <v>0</v>
      </c>
      <c r="B303" s="3">
        <v>11.45</v>
      </c>
      <c r="C303" s="3">
        <v>6.13</v>
      </c>
      <c r="D303" s="3">
        <v>6.85</v>
      </c>
      <c r="E303" s="3">
        <v>5.9</v>
      </c>
      <c r="F303" s="3">
        <v>10.05</v>
      </c>
      <c r="G303" s="3">
        <v>174.0</v>
      </c>
      <c r="H303" s="3">
        <v>51.76</v>
      </c>
      <c r="I303" s="3">
        <v>103.16</v>
      </c>
      <c r="J303" s="3">
        <v>164.9</v>
      </c>
      <c r="K303" s="3">
        <v>95.75</v>
      </c>
      <c r="L303" s="3">
        <v>54.9</v>
      </c>
      <c r="M303" s="3">
        <v>7.94</v>
      </c>
      <c r="N303" s="3">
        <v>6.95</v>
      </c>
      <c r="O303" s="3">
        <v>9.96</v>
      </c>
      <c r="P303" s="3">
        <v>5.9</v>
      </c>
      <c r="Q303" s="3">
        <v>5.73</v>
      </c>
      <c r="R303" s="3">
        <v>5.97</v>
      </c>
      <c r="S303" s="3">
        <v>64.95</v>
      </c>
      <c r="T303" s="3">
        <v>6.33</v>
      </c>
    </row>
    <row r="304" ht="15.75" customHeight="1"/>
    <row r="305" ht="15.75" customHeight="1">
      <c r="A305" s="1">
        <v>44440.0</v>
      </c>
    </row>
    <row r="306" ht="15.75" customHeight="1">
      <c r="A306" s="2" t="s">
        <v>0</v>
      </c>
      <c r="B306" s="3">
        <v>11.45</v>
      </c>
      <c r="C306" s="3">
        <v>6.06</v>
      </c>
      <c r="D306" s="3">
        <v>9.96</v>
      </c>
      <c r="E306" s="3">
        <v>64.65</v>
      </c>
      <c r="F306" s="3">
        <v>174.0</v>
      </c>
      <c r="G306" s="3">
        <v>103.16</v>
      </c>
      <c r="H306" s="3">
        <v>164.9</v>
      </c>
      <c r="I306" s="3">
        <v>95.75</v>
      </c>
      <c r="J306" s="3">
        <v>6.06</v>
      </c>
      <c r="K306" s="3">
        <v>47.01</v>
      </c>
      <c r="L306" s="3">
        <v>6.34</v>
      </c>
      <c r="M306" s="3">
        <v>212.94</v>
      </c>
      <c r="N306" s="3">
        <v>5.99</v>
      </c>
      <c r="O306" s="3"/>
      <c r="P306" s="3"/>
    </row>
    <row r="307" ht="15.75" customHeight="1"/>
    <row r="308" ht="15.75" customHeight="1">
      <c r="A308" s="1">
        <v>44470.0</v>
      </c>
    </row>
    <row r="309" ht="15.75" customHeight="1">
      <c r="A309" s="2" t="s">
        <v>0</v>
      </c>
      <c r="B309" s="3">
        <v>126.4</v>
      </c>
      <c r="C309" s="3">
        <v>190.0</v>
      </c>
      <c r="D309" s="3">
        <v>95.75</v>
      </c>
      <c r="E309" s="3">
        <v>164.9</v>
      </c>
      <c r="F309" s="3">
        <v>103.16</v>
      </c>
      <c r="G309" s="3">
        <v>174.0</v>
      </c>
      <c r="H309" s="3">
        <v>47.01</v>
      </c>
      <c r="I309" s="3">
        <v>51.96</v>
      </c>
      <c r="J309" s="3">
        <v>9.92</v>
      </c>
      <c r="K309" s="3">
        <v>7.98</v>
      </c>
      <c r="L309" s="3">
        <v>6.06</v>
      </c>
      <c r="M309" s="3">
        <v>6.59</v>
      </c>
      <c r="N309" s="3">
        <v>6.26</v>
      </c>
      <c r="O309" s="3">
        <v>8.94</v>
      </c>
      <c r="P309" s="3">
        <v>6.61</v>
      </c>
      <c r="Q309" s="3">
        <v>6.31</v>
      </c>
      <c r="R309" s="3">
        <v>6.91</v>
      </c>
      <c r="S309" s="3">
        <v>11.45</v>
      </c>
    </row>
    <row r="310" ht="15.75" customHeight="1"/>
    <row r="311" ht="15.75" customHeight="1">
      <c r="A311" s="1">
        <v>44501.0</v>
      </c>
    </row>
    <row r="312" ht="15.75" customHeight="1">
      <c r="A312" s="2" t="s">
        <v>0</v>
      </c>
      <c r="B312" s="3">
        <v>95.75</v>
      </c>
      <c r="C312" s="3">
        <v>164.9</v>
      </c>
      <c r="D312" s="3">
        <v>103.16</v>
      </c>
      <c r="E312" s="3">
        <v>174.0</v>
      </c>
      <c r="F312" s="3">
        <v>47.01</v>
      </c>
      <c r="G312" s="3">
        <v>51.96</v>
      </c>
      <c r="H312" s="3">
        <v>6.06</v>
      </c>
      <c r="I312" s="3">
        <v>6.06</v>
      </c>
      <c r="J312" s="3">
        <v>6.94</v>
      </c>
      <c r="K312" s="3">
        <v>8.96</v>
      </c>
      <c r="L312" s="3">
        <v>6.99</v>
      </c>
      <c r="M312" s="3">
        <v>6.06</v>
      </c>
      <c r="N312" s="3">
        <v>11.45</v>
      </c>
      <c r="O312" s="3">
        <v>6.07</v>
      </c>
      <c r="P312" s="3">
        <v>54.9</v>
      </c>
    </row>
    <row r="313" ht="15.75" customHeight="1"/>
    <row r="314" ht="15.75" customHeight="1">
      <c r="A314" s="1">
        <v>44531.0</v>
      </c>
    </row>
    <row r="315" ht="15.75" customHeight="1">
      <c r="A315" s="2" t="s">
        <v>0</v>
      </c>
      <c r="B315" s="3">
        <v>95.75</v>
      </c>
      <c r="C315" s="3">
        <v>164.9</v>
      </c>
      <c r="D315" s="3">
        <v>103.16</v>
      </c>
      <c r="E315" s="3">
        <v>174.0</v>
      </c>
      <c r="F315" s="3">
        <v>47.01</v>
      </c>
      <c r="G315" s="3">
        <v>51.96</v>
      </c>
      <c r="H315" s="3">
        <v>6.06</v>
      </c>
      <c r="I315" s="3">
        <v>7.99</v>
      </c>
      <c r="J315" s="3">
        <v>121.5</v>
      </c>
      <c r="K315" s="3">
        <v>8.9</v>
      </c>
      <c r="L315" s="3">
        <v>6.83</v>
      </c>
      <c r="M315" s="3">
        <v>5.69</v>
      </c>
      <c r="N315" s="3">
        <v>8.01</v>
      </c>
      <c r="O315" s="3">
        <v>44.45</v>
      </c>
      <c r="P315" s="3">
        <v>6.91</v>
      </c>
      <c r="Q315" s="3">
        <v>7.94</v>
      </c>
    </row>
    <row r="316" ht="15.75" customHeight="1"/>
    <row r="317" ht="15.75" customHeight="1">
      <c r="A317" s="1">
        <v>44562.0</v>
      </c>
    </row>
    <row r="318" ht="15.75" customHeight="1">
      <c r="A318" s="2" t="s">
        <v>46</v>
      </c>
      <c r="B318" s="3">
        <v>103.16</v>
      </c>
      <c r="C318" s="3">
        <v>174.0</v>
      </c>
      <c r="D318" s="3">
        <v>47.01</v>
      </c>
      <c r="E318" s="3">
        <v>121.5</v>
      </c>
      <c r="F318" s="3">
        <v>233.0</v>
      </c>
      <c r="G318" s="3">
        <v>7.93</v>
      </c>
      <c r="H318" s="3">
        <v>9.99</v>
      </c>
      <c r="I318" s="3">
        <v>125.02</v>
      </c>
      <c r="J318" s="3">
        <v>6.98</v>
      </c>
      <c r="K318" s="3">
        <v>6.91</v>
      </c>
      <c r="L318" s="3">
        <v>23.42</v>
      </c>
      <c r="M318" s="3">
        <v>25.13</v>
      </c>
      <c r="N318" s="3">
        <v>8.48</v>
      </c>
      <c r="O318" s="3">
        <v>11.78</v>
      </c>
      <c r="P318" s="3">
        <v>7.12</v>
      </c>
      <c r="Q318" s="3">
        <v>185.0</v>
      </c>
      <c r="R318" s="3">
        <v>13.76</v>
      </c>
      <c r="S318" s="3">
        <v>14.92</v>
      </c>
      <c r="T318" s="3">
        <v>11.45</v>
      </c>
    </row>
    <row r="319" ht="15.75" customHeight="1"/>
    <row r="320" ht="15.75" customHeight="1">
      <c r="A320" s="1">
        <v>44593.0</v>
      </c>
    </row>
    <row r="321" ht="15.75" customHeight="1">
      <c r="A321" s="2" t="s">
        <v>46</v>
      </c>
      <c r="B321" s="3">
        <v>174.0</v>
      </c>
      <c r="C321" s="3">
        <v>103.16</v>
      </c>
      <c r="D321" s="3">
        <v>8.69</v>
      </c>
      <c r="E321" s="3">
        <v>7.97</v>
      </c>
      <c r="F321" s="3">
        <v>10.81</v>
      </c>
      <c r="G321" s="3">
        <v>6.49</v>
      </c>
      <c r="H321" s="3">
        <v>4.96</v>
      </c>
      <c r="I321" s="3">
        <v>12.69</v>
      </c>
      <c r="J321" s="3">
        <v>82.95</v>
      </c>
      <c r="K321" s="3">
        <v>185.0</v>
      </c>
      <c r="L321" s="3">
        <v>23.42</v>
      </c>
      <c r="M321" s="3">
        <v>25.13</v>
      </c>
      <c r="N321" s="3">
        <v>125.02</v>
      </c>
      <c r="O321" s="3">
        <v>233.0</v>
      </c>
      <c r="P321" s="3">
        <v>47.01</v>
      </c>
      <c r="Q321" s="3">
        <v>6.23</v>
      </c>
    </row>
    <row r="322" ht="15.75" customHeight="1"/>
    <row r="323" ht="15.75" customHeight="1">
      <c r="A323" s="1">
        <v>44621.0</v>
      </c>
    </row>
    <row r="324" ht="15.75" customHeight="1">
      <c r="A324" s="2" t="s">
        <v>46</v>
      </c>
      <c r="B324" s="3">
        <v>103.16</v>
      </c>
      <c r="C324" s="3">
        <v>174.0</v>
      </c>
      <c r="D324" s="3">
        <v>233.0</v>
      </c>
      <c r="E324" s="3">
        <v>125.02</v>
      </c>
      <c r="F324" s="3">
        <v>23.42</v>
      </c>
      <c r="G324" s="3">
        <v>25.13</v>
      </c>
      <c r="H324" s="3">
        <v>185.0</v>
      </c>
      <c r="I324" s="3">
        <v>6.71</v>
      </c>
      <c r="J324" s="3">
        <v>6.16</v>
      </c>
      <c r="K324" s="3">
        <v>6.66</v>
      </c>
      <c r="L324" s="3">
        <v>6.82</v>
      </c>
      <c r="M324" s="3">
        <v>6.16</v>
      </c>
      <c r="N324" s="3">
        <v>6.16</v>
      </c>
      <c r="O324" s="3">
        <v>6.69</v>
      </c>
      <c r="P324" s="3">
        <v>12.69</v>
      </c>
    </row>
    <row r="325" ht="15.75" customHeight="1">
      <c r="A325" s="2" t="s">
        <v>1</v>
      </c>
      <c r="B325" s="2">
        <f>SUM(B324:T324)</f>
        <v>926.78</v>
      </c>
      <c r="C325" s="2">
        <v>886.78</v>
      </c>
    </row>
    <row r="326" ht="15.75" customHeight="1"/>
    <row r="327" ht="15.75" customHeight="1">
      <c r="A327" s="1">
        <v>44652.0</v>
      </c>
    </row>
    <row r="328" ht="15.75" customHeight="1">
      <c r="A328" s="2" t="s">
        <v>0</v>
      </c>
      <c r="B328" s="3">
        <v>103.16</v>
      </c>
      <c r="C328" s="3">
        <v>174.0</v>
      </c>
      <c r="D328" s="3">
        <v>233.0</v>
      </c>
      <c r="E328" s="3">
        <v>125.02</v>
      </c>
      <c r="F328" s="3">
        <v>25.13</v>
      </c>
      <c r="G328" s="3">
        <v>12.99</v>
      </c>
      <c r="H328" s="3">
        <v>8.01</v>
      </c>
      <c r="I328" s="3">
        <v>6.33</v>
      </c>
      <c r="J328" s="3">
        <v>5.41</v>
      </c>
      <c r="K328" s="3">
        <v>7.39</v>
      </c>
      <c r="L328" s="3">
        <v>12.45</v>
      </c>
      <c r="M328" s="3">
        <v>9.29</v>
      </c>
      <c r="N328" s="3">
        <v>73.33</v>
      </c>
      <c r="O328" s="3">
        <v>14.93</v>
      </c>
      <c r="P328" s="3">
        <v>6.98</v>
      </c>
      <c r="Q328" s="3">
        <v>12.69</v>
      </c>
      <c r="R328" s="3">
        <v>126.4</v>
      </c>
    </row>
    <row r="329" ht="15.75" customHeight="1">
      <c r="A329" s="2" t="s">
        <v>1</v>
      </c>
      <c r="B329" s="2">
        <f>SUM(B328:U328)</f>
        <v>956.51</v>
      </c>
    </row>
    <row r="330" ht="15.75" customHeight="1"/>
    <row r="331" ht="15.75" customHeight="1">
      <c r="A331" s="1">
        <v>44682.0</v>
      </c>
    </row>
    <row r="332" ht="15.75" customHeight="1">
      <c r="A332" s="2" t="s">
        <v>46</v>
      </c>
      <c r="B332" s="3">
        <v>233.0</v>
      </c>
      <c r="C332" s="3">
        <v>73.33</v>
      </c>
      <c r="D332" s="3">
        <v>68.32</v>
      </c>
      <c r="E332" s="3">
        <v>9.93</v>
      </c>
      <c r="F332" s="3">
        <v>30.0</v>
      </c>
      <c r="G332" s="3">
        <v>7.93</v>
      </c>
      <c r="H332" s="3">
        <v>8.95</v>
      </c>
      <c r="I332" s="3">
        <v>95.0</v>
      </c>
      <c r="J332" s="3">
        <v>16.92</v>
      </c>
      <c r="K332" s="3">
        <v>210.89</v>
      </c>
      <c r="L332" s="3">
        <v>12.69</v>
      </c>
    </row>
    <row r="333" ht="15.75" customHeight="1">
      <c r="A333" s="2" t="s">
        <v>1</v>
      </c>
      <c r="B333" s="2">
        <f>SUM(B332:U332)</f>
        <v>766.96</v>
      </c>
    </row>
    <row r="334" ht="15.75" customHeight="1"/>
    <row r="335" ht="15.75" customHeight="1">
      <c r="A335" s="1">
        <v>44713.0</v>
      </c>
      <c r="F335" s="3"/>
    </row>
    <row r="336" ht="15.75" customHeight="1">
      <c r="A336" s="2" t="s">
        <v>46</v>
      </c>
      <c r="B336" s="3">
        <v>12.69</v>
      </c>
      <c r="C336" s="3">
        <v>5.38</v>
      </c>
      <c r="D336" s="3">
        <v>126.68</v>
      </c>
      <c r="E336" s="3">
        <v>98.32</v>
      </c>
      <c r="F336" s="3">
        <v>10.02</v>
      </c>
      <c r="G336" s="3">
        <v>95.0</v>
      </c>
      <c r="H336" s="3">
        <v>68.32</v>
      </c>
      <c r="I336" s="3">
        <v>73.33</v>
      </c>
      <c r="J336" s="3">
        <v>233.0</v>
      </c>
      <c r="K336" s="3">
        <v>-210.89</v>
      </c>
      <c r="L336" s="3">
        <v>114.9</v>
      </c>
    </row>
    <row r="337" ht="15.75" customHeight="1">
      <c r="A337" s="2" t="s">
        <v>1</v>
      </c>
      <c r="B337" s="2">
        <f>SUM(B336:AC336)</f>
        <v>626.75</v>
      </c>
    </row>
    <row r="338" ht="15.75" customHeight="1"/>
    <row r="339" ht="15.75" customHeight="1">
      <c r="A339" s="1">
        <v>44743.0</v>
      </c>
    </row>
    <row r="340" ht="15.75" customHeight="1">
      <c r="A340" s="2" t="s">
        <v>46</v>
      </c>
      <c r="B340" s="3">
        <v>7.39</v>
      </c>
      <c r="C340" s="3">
        <v>16.67</v>
      </c>
      <c r="D340" s="3">
        <v>4.72</v>
      </c>
      <c r="E340" s="3">
        <v>7.51</v>
      </c>
      <c r="F340" s="3">
        <v>126.68</v>
      </c>
      <c r="G340" s="3">
        <v>98.32</v>
      </c>
      <c r="H340" s="3">
        <v>68.32</v>
      </c>
      <c r="I340" s="3">
        <v>12.69</v>
      </c>
      <c r="J340" s="3">
        <v>9.61</v>
      </c>
      <c r="K340" s="3">
        <v>6.0</v>
      </c>
      <c r="L340" s="3">
        <v>28.99</v>
      </c>
      <c r="M340" s="3">
        <v>66.0</v>
      </c>
      <c r="N340" s="3">
        <v>32.92</v>
      </c>
      <c r="O340" s="3">
        <v>6.83</v>
      </c>
    </row>
    <row r="341" ht="15.75" customHeight="1">
      <c r="A341" s="2" t="s">
        <v>1</v>
      </c>
      <c r="B341" s="2">
        <f>SUM(B340:S340)</f>
        <v>492.65</v>
      </c>
    </row>
    <row r="342" ht="15.75" customHeight="1"/>
    <row r="343" ht="15.75" customHeight="1">
      <c r="A343" s="1">
        <v>44774.0</v>
      </c>
    </row>
    <row r="344" ht="15.75" customHeight="1">
      <c r="A344" s="2" t="s">
        <v>46</v>
      </c>
      <c r="B344" s="3">
        <v>12.69</v>
      </c>
      <c r="C344" s="3">
        <v>8.75</v>
      </c>
      <c r="D344" s="3">
        <v>58.89</v>
      </c>
      <c r="E344" s="3">
        <v>8.99</v>
      </c>
      <c r="F344" s="3">
        <v>59.26</v>
      </c>
      <c r="G344" s="3">
        <v>94.25</v>
      </c>
      <c r="H344" s="3">
        <v>8.97</v>
      </c>
      <c r="I344" s="3">
        <v>6.24</v>
      </c>
      <c r="J344" s="3">
        <v>8.95</v>
      </c>
      <c r="K344" s="3">
        <v>9.96</v>
      </c>
      <c r="L344" s="3">
        <v>126.68</v>
      </c>
      <c r="M344" s="3">
        <v>98.32</v>
      </c>
    </row>
    <row r="345" ht="15.75" customHeight="1">
      <c r="A345" s="2" t="s">
        <v>1</v>
      </c>
    </row>
    <row r="346" ht="15.75" customHeight="1"/>
    <row r="347" ht="15.75" customHeight="1">
      <c r="A347" s="1">
        <v>44805.0</v>
      </c>
    </row>
    <row r="348" ht="15.75" customHeight="1">
      <c r="A348" s="2" t="s">
        <v>46</v>
      </c>
    </row>
    <row r="349" ht="15.75" customHeight="1">
      <c r="A349" s="2" t="s">
        <v>1</v>
      </c>
      <c r="B349" s="3">
        <v>100.0</v>
      </c>
      <c r="C349" s="3">
        <v>7.37</v>
      </c>
      <c r="D349" s="3">
        <v>11.92</v>
      </c>
      <c r="E349" s="3">
        <v>12.69</v>
      </c>
      <c r="F349" s="3">
        <v>99.9</v>
      </c>
      <c r="G349" s="3">
        <v>7.84</v>
      </c>
      <c r="H349" s="3">
        <v>9.94</v>
      </c>
      <c r="I349" s="3">
        <v>8.95</v>
      </c>
      <c r="J349" s="3">
        <v>59.26</v>
      </c>
    </row>
    <row r="350" ht="15.75" customHeight="1"/>
    <row r="351" ht="15.75" customHeight="1">
      <c r="A351" s="1">
        <v>44835.0</v>
      </c>
    </row>
    <row r="352" ht="15.75" customHeight="1">
      <c r="A352" s="2" t="s">
        <v>46</v>
      </c>
      <c r="B352" s="3">
        <v>154.2</v>
      </c>
      <c r="C352" s="3">
        <v>78.0</v>
      </c>
      <c r="D352" s="3">
        <v>12.69</v>
      </c>
      <c r="E352" s="3">
        <v>65.77</v>
      </c>
      <c r="F352" s="3">
        <v>11.94</v>
      </c>
      <c r="G352" s="3">
        <v>19.9</v>
      </c>
      <c r="H352" s="3">
        <v>10.54</v>
      </c>
      <c r="I352" s="3">
        <v>60.0</v>
      </c>
      <c r="J352" s="3">
        <v>7.0</v>
      </c>
      <c r="K352" s="3">
        <v>7.02</v>
      </c>
      <c r="L352" s="3">
        <v>59.26</v>
      </c>
    </row>
    <row r="353" ht="15.75" customHeight="1">
      <c r="A353" s="2" t="s">
        <v>1</v>
      </c>
      <c r="B353" s="2">
        <f>SUM(B352:Z352)</f>
        <v>486.32</v>
      </c>
    </row>
    <row r="354" ht="15.75" customHeight="1"/>
    <row r="355" ht="15.75" customHeight="1">
      <c r="A355" s="1">
        <v>44866.0</v>
      </c>
    </row>
    <row r="356" ht="15.75" customHeight="1">
      <c r="A356" s="2" t="s">
        <v>46</v>
      </c>
      <c r="B356" s="3">
        <v>27.13</v>
      </c>
      <c r="C356" s="3">
        <v>47.47</v>
      </c>
      <c r="D356" s="3">
        <v>120.6</v>
      </c>
      <c r="E356" s="3">
        <v>115.0</v>
      </c>
      <c r="F356" s="3">
        <v>6.26</v>
      </c>
      <c r="G356" s="3">
        <v>6.11</v>
      </c>
      <c r="H356" s="3">
        <v>12.04</v>
      </c>
      <c r="I356" s="3">
        <v>60.0</v>
      </c>
      <c r="J356" s="3">
        <v>59.26</v>
      </c>
      <c r="K356" s="3">
        <v>12.69</v>
      </c>
      <c r="L356" s="3">
        <v>6.66</v>
      </c>
    </row>
    <row r="357" ht="15.75" customHeight="1">
      <c r="A357" s="2" t="s">
        <v>1</v>
      </c>
      <c r="B357" s="2">
        <f>SUM(B356:T356)</f>
        <v>473.22</v>
      </c>
    </row>
    <row r="358" ht="15.75" customHeight="1"/>
    <row r="359" ht="15.75" customHeight="1">
      <c r="A359" s="1">
        <v>44896.0</v>
      </c>
    </row>
    <row r="360" ht="15.75" customHeight="1">
      <c r="A360" s="2" t="s">
        <v>46</v>
      </c>
      <c r="B360" s="3">
        <v>119.32</v>
      </c>
      <c r="C360" s="3">
        <v>51.0</v>
      </c>
      <c r="D360" s="3">
        <v>12.69</v>
      </c>
      <c r="E360" s="3">
        <v>11.52</v>
      </c>
      <c r="F360" s="3">
        <v>96.75</v>
      </c>
      <c r="G360" s="3">
        <v>8.97</v>
      </c>
      <c r="H360" s="3">
        <v>27.13</v>
      </c>
      <c r="I360" s="3">
        <v>47.47</v>
      </c>
      <c r="J360" s="3">
        <v>115.0</v>
      </c>
      <c r="K360" s="3">
        <v>60.0</v>
      </c>
      <c r="L360" s="3">
        <v>7.97</v>
      </c>
      <c r="M360" s="3">
        <v>6.71</v>
      </c>
    </row>
    <row r="361" ht="15.75" customHeight="1">
      <c r="A361" s="2" t="s">
        <v>1</v>
      </c>
      <c r="B361" s="2">
        <f>SUM(B360:R360)</f>
        <v>564.53</v>
      </c>
    </row>
    <row r="362" ht="15.75" customHeight="1"/>
    <row r="363" ht="15.75" customHeight="1">
      <c r="A363" s="1">
        <v>44927.0</v>
      </c>
    </row>
    <row r="364" ht="15.75" customHeight="1">
      <c r="A364" s="2" t="s">
        <v>46</v>
      </c>
      <c r="B364" s="3">
        <v>96.75</v>
      </c>
      <c r="C364" s="3">
        <v>27.13</v>
      </c>
      <c r="D364" s="3">
        <v>47.47</v>
      </c>
      <c r="E364" s="3">
        <v>96.75</v>
      </c>
      <c r="F364" s="3">
        <v>5.07</v>
      </c>
      <c r="G364" s="3">
        <v>120.03</v>
      </c>
      <c r="H364" s="3">
        <v>7.93</v>
      </c>
      <c r="I364" s="3">
        <v>92.02</v>
      </c>
      <c r="J364" s="3">
        <v>53.67</v>
      </c>
      <c r="K364" s="3">
        <v>5.88</v>
      </c>
      <c r="L364" s="3">
        <v>5.21</v>
      </c>
      <c r="M364" s="3">
        <v>6.56</v>
      </c>
      <c r="N364" s="3">
        <v>9.03</v>
      </c>
      <c r="O364" s="3">
        <v>6.71</v>
      </c>
      <c r="P364" s="3">
        <v>6.71</v>
      </c>
      <c r="Q364" s="3">
        <v>12.69</v>
      </c>
    </row>
    <row r="365" ht="15.75" customHeight="1">
      <c r="A365" s="2" t="s">
        <v>1</v>
      </c>
      <c r="B365" s="2">
        <f>SUM(B364:R364)</f>
        <v>599.61</v>
      </c>
    </row>
    <row r="366" ht="15.75" customHeight="1"/>
    <row r="367" ht="15.75" customHeight="1">
      <c r="A367" s="1">
        <v>44927.0</v>
      </c>
    </row>
    <row r="368" ht="15.75" customHeight="1">
      <c r="A368" s="2" t="s">
        <v>46</v>
      </c>
      <c r="B368" s="3">
        <v>5.46</v>
      </c>
      <c r="C368" s="3">
        <v>6.12</v>
      </c>
      <c r="D368" s="3">
        <v>4.7</v>
      </c>
      <c r="E368" s="3">
        <v>4.7</v>
      </c>
      <c r="F368" s="3">
        <v>6.12</v>
      </c>
      <c r="G368" s="3">
        <v>9.87</v>
      </c>
      <c r="H368" s="3">
        <v>5.65</v>
      </c>
      <c r="I368" s="3">
        <v>6.93</v>
      </c>
      <c r="J368" s="3">
        <v>4.91</v>
      </c>
      <c r="K368" s="3">
        <v>4.82</v>
      </c>
      <c r="L368" s="3">
        <v>5.12</v>
      </c>
      <c r="M368" s="3">
        <v>13.44</v>
      </c>
      <c r="N368" s="3">
        <v>6.71</v>
      </c>
      <c r="O368" s="3">
        <v>10.7</v>
      </c>
      <c r="P368" s="3">
        <v>8.46</v>
      </c>
      <c r="Q368" s="3">
        <v>6.61</v>
      </c>
      <c r="R368" s="3">
        <v>6.68</v>
      </c>
      <c r="S368" s="3">
        <v>34.19</v>
      </c>
      <c r="T368" s="3">
        <v>30.7</v>
      </c>
      <c r="U368" s="3">
        <v>6.71</v>
      </c>
      <c r="V368" s="3">
        <v>6.71</v>
      </c>
      <c r="W368" s="3">
        <v>92.02</v>
      </c>
      <c r="X368" s="3">
        <v>53.67</v>
      </c>
      <c r="Y368" s="3">
        <v>120.03</v>
      </c>
      <c r="Z368" s="3">
        <v>27.13</v>
      </c>
      <c r="AA368" s="3">
        <v>47.47</v>
      </c>
      <c r="AB368" s="3">
        <v>135.0</v>
      </c>
      <c r="AC368" s="3">
        <v>19.0</v>
      </c>
    </row>
    <row r="369" ht="15.75" customHeight="1">
      <c r="A369" s="2" t="s">
        <v>1</v>
      </c>
      <c r="B369" s="2">
        <f>SUM(B368:AI368)</f>
        <v>689.63</v>
      </c>
    </row>
    <row r="370" ht="15.75" customHeight="1"/>
    <row r="371" ht="15.75" customHeight="1">
      <c r="A371" s="1">
        <v>44958.0</v>
      </c>
    </row>
    <row r="372" ht="15.75" customHeight="1">
      <c r="A372" s="2" t="s">
        <v>46</v>
      </c>
      <c r="B372" s="3">
        <v>4.7</v>
      </c>
      <c r="C372" s="3">
        <v>13.44</v>
      </c>
      <c r="D372" s="3">
        <v>4.06</v>
      </c>
      <c r="E372" s="3">
        <v>99.99</v>
      </c>
      <c r="F372" s="3">
        <v>6.9</v>
      </c>
      <c r="G372" s="3">
        <v>59.47</v>
      </c>
      <c r="H372" s="3">
        <v>34.19</v>
      </c>
      <c r="I372" s="3">
        <v>30.7</v>
      </c>
      <c r="J372" s="3">
        <v>92.02</v>
      </c>
      <c r="K372" s="3">
        <v>53.67</v>
      </c>
      <c r="L372" s="3">
        <v>120.03</v>
      </c>
      <c r="M372" s="3">
        <v>27.13</v>
      </c>
      <c r="N372" s="3">
        <v>47.47</v>
      </c>
      <c r="O372" s="3">
        <v>27.6</v>
      </c>
      <c r="P372" s="3">
        <v>6.57</v>
      </c>
      <c r="Q372" s="3">
        <v>73.07</v>
      </c>
      <c r="R372" s="3">
        <v>6.61</v>
      </c>
    </row>
    <row r="373" ht="15.75" customHeight="1">
      <c r="A373" s="2" t="s">
        <v>1</v>
      </c>
      <c r="B373" s="2">
        <f>SUM(B372:AG372)</f>
        <v>707.62</v>
      </c>
    </row>
    <row r="374" ht="15.75" customHeight="1"/>
    <row r="375" ht="15.75" customHeight="1">
      <c r="A375" s="1">
        <v>44986.0</v>
      </c>
    </row>
    <row r="376" ht="15.75" customHeight="1">
      <c r="A376" s="2" t="s">
        <v>46</v>
      </c>
      <c r="B376" s="3">
        <v>5.7</v>
      </c>
      <c r="C376" s="3">
        <v>5.19</v>
      </c>
      <c r="D376" s="3">
        <v>6.29</v>
      </c>
      <c r="E376" s="3">
        <v>5.43</v>
      </c>
      <c r="F376" s="3">
        <v>6.38</v>
      </c>
      <c r="G376" s="3">
        <v>6.76</v>
      </c>
      <c r="H376" s="3">
        <v>5.01</v>
      </c>
      <c r="I376" s="3">
        <v>6.33</v>
      </c>
      <c r="J376" s="3">
        <v>5.96</v>
      </c>
      <c r="K376" s="3">
        <v>13.44</v>
      </c>
      <c r="L376" s="3">
        <v>6.62</v>
      </c>
      <c r="M376" s="3">
        <v>7.94</v>
      </c>
      <c r="N376" s="3">
        <v>7.0</v>
      </c>
      <c r="O376" s="3">
        <v>6.71</v>
      </c>
      <c r="P376" s="3">
        <v>109.99</v>
      </c>
      <c r="Q376" s="3">
        <v>7.67</v>
      </c>
      <c r="R376" s="3">
        <v>73.07</v>
      </c>
      <c r="S376" s="3">
        <v>27.6</v>
      </c>
      <c r="T376" s="3">
        <v>99.99</v>
      </c>
      <c r="U376" s="3">
        <v>34.19</v>
      </c>
      <c r="V376" s="3">
        <v>30.7</v>
      </c>
      <c r="W376" s="3">
        <v>92.02</v>
      </c>
      <c r="X376" s="3">
        <v>120.03</v>
      </c>
      <c r="Y376" s="3">
        <v>27.13</v>
      </c>
      <c r="Z376" s="3">
        <v>47.47</v>
      </c>
      <c r="AA376" s="3">
        <v>27.26</v>
      </c>
    </row>
    <row r="377" ht="15.75" customHeight="1">
      <c r="A377" s="2" t="s">
        <v>1</v>
      </c>
      <c r="B377" s="2">
        <f>SUM(B376:AN376)</f>
        <v>791.88</v>
      </c>
    </row>
    <row r="378" ht="15.75" customHeight="1"/>
    <row r="379" ht="15.75" customHeight="1">
      <c r="A379" s="1">
        <v>45017.0</v>
      </c>
    </row>
    <row r="380" ht="15.75" customHeight="1">
      <c r="A380" s="2" t="s">
        <v>46</v>
      </c>
      <c r="B380" s="3">
        <v>6.32</v>
      </c>
      <c r="C380" s="3">
        <v>5.8</v>
      </c>
      <c r="D380" s="3">
        <v>4.98</v>
      </c>
      <c r="E380" s="3">
        <v>5.74</v>
      </c>
      <c r="F380" s="3">
        <v>5.09</v>
      </c>
      <c r="G380" s="3">
        <v>16.92</v>
      </c>
      <c r="H380" s="3">
        <v>6.9</v>
      </c>
      <c r="I380" s="3">
        <v>7.91</v>
      </c>
      <c r="J380" s="3">
        <v>13.44</v>
      </c>
      <c r="K380" s="3">
        <v>6.96</v>
      </c>
      <c r="L380" s="3">
        <v>7.93</v>
      </c>
      <c r="M380" s="3">
        <v>66.44</v>
      </c>
      <c r="N380" s="3">
        <v>48.22</v>
      </c>
      <c r="O380" s="3">
        <v>9.94</v>
      </c>
      <c r="P380" s="3">
        <v>8.05</v>
      </c>
      <c r="Q380" s="3">
        <v>6.98</v>
      </c>
      <c r="R380" s="3">
        <v>136.0</v>
      </c>
      <c r="S380" s="3">
        <v>9.16</v>
      </c>
      <c r="T380" s="3">
        <v>5.34</v>
      </c>
      <c r="U380" s="3">
        <v>5.96</v>
      </c>
      <c r="V380" s="3">
        <v>8.81</v>
      </c>
      <c r="W380" s="3">
        <v>109.99</v>
      </c>
      <c r="X380" s="3">
        <v>73.07</v>
      </c>
      <c r="Y380" s="3">
        <v>27.6</v>
      </c>
      <c r="Z380" s="3">
        <v>34.19</v>
      </c>
      <c r="AA380" s="3">
        <v>92.02</v>
      </c>
      <c r="AB380" s="3">
        <v>120.03</v>
      </c>
      <c r="AC380" s="3">
        <v>47.17</v>
      </c>
    </row>
    <row r="381" ht="15.75" customHeight="1">
      <c r="A381" s="2" t="s">
        <v>1</v>
      </c>
      <c r="B381" s="2">
        <f>SUM(B380:AN380)</f>
        <v>896.96</v>
      </c>
    </row>
    <row r="382" ht="15.75" customHeight="1"/>
    <row r="383" ht="15.75" customHeight="1">
      <c r="A383" s="1">
        <v>45047.0</v>
      </c>
    </row>
    <row r="384" ht="15.75" customHeight="1">
      <c r="A384" s="3" t="s">
        <v>46</v>
      </c>
      <c r="B384" s="3">
        <v>47.47</v>
      </c>
      <c r="C384" s="3">
        <v>120.03</v>
      </c>
      <c r="D384" s="3">
        <v>92.02</v>
      </c>
      <c r="E384" s="3">
        <v>34.19</v>
      </c>
      <c r="F384" s="3">
        <v>27.6</v>
      </c>
      <c r="G384" s="3">
        <v>73.07</v>
      </c>
      <c r="H384" s="3">
        <v>109.99</v>
      </c>
      <c r="I384" s="3">
        <v>5.34</v>
      </c>
      <c r="J384" s="3">
        <v>5.96</v>
      </c>
      <c r="K384" s="3">
        <v>8.81</v>
      </c>
      <c r="L384" s="3">
        <v>9.16</v>
      </c>
      <c r="M384" s="3">
        <v>136.0</v>
      </c>
      <c r="N384" s="3">
        <v>6.98</v>
      </c>
      <c r="O384" s="3">
        <v>8.05</v>
      </c>
      <c r="P384" s="3">
        <v>9.94</v>
      </c>
      <c r="Q384" s="3">
        <v>66.44</v>
      </c>
      <c r="R384" s="3">
        <v>48.22</v>
      </c>
      <c r="S384" s="3">
        <v>6.96</v>
      </c>
      <c r="T384" s="3">
        <v>7.93</v>
      </c>
      <c r="U384" s="3">
        <v>6.9</v>
      </c>
      <c r="V384" s="3">
        <v>7.91</v>
      </c>
      <c r="W384" s="3">
        <v>16.92</v>
      </c>
      <c r="X384" s="3">
        <v>5.09</v>
      </c>
      <c r="Y384" s="3">
        <v>4.98</v>
      </c>
      <c r="Z384" s="3">
        <v>5.74</v>
      </c>
      <c r="AA384" s="3">
        <v>6.32</v>
      </c>
      <c r="AB384" s="3">
        <v>5.8</v>
      </c>
      <c r="AC384" s="3">
        <v>13.44</v>
      </c>
    </row>
    <row r="385" ht="15.75" customHeight="1">
      <c r="A385" s="2" t="s">
        <v>1</v>
      </c>
      <c r="B385" s="2">
        <f>SUM(B384:AC384)</f>
        <v>897.26</v>
      </c>
      <c r="C385" s="2">
        <v>85.0</v>
      </c>
    </row>
    <row r="386" ht="15.75" customHeight="1"/>
    <row r="387" ht="15.75" customHeight="1">
      <c r="A387" s="1">
        <v>45078.0</v>
      </c>
    </row>
    <row r="388" ht="15.75" customHeight="1">
      <c r="A388" s="2" t="s">
        <v>46</v>
      </c>
      <c r="B388" s="3">
        <v>27.6</v>
      </c>
      <c r="C388" s="3">
        <v>73.07</v>
      </c>
      <c r="D388" s="3">
        <v>109.99</v>
      </c>
      <c r="E388" s="3">
        <v>136.0</v>
      </c>
      <c r="F388" s="3">
        <v>66.44</v>
      </c>
      <c r="G388" s="3">
        <v>48.22</v>
      </c>
      <c r="H388" s="3">
        <v>7.97</v>
      </c>
      <c r="I388" s="3">
        <v>20.0</v>
      </c>
      <c r="J388" s="3">
        <v>113.35</v>
      </c>
      <c r="K388" s="3">
        <v>23.97</v>
      </c>
      <c r="L388" s="3">
        <v>23.02</v>
      </c>
      <c r="M388" s="3">
        <v>29.88</v>
      </c>
      <c r="N388" s="3">
        <v>19.65</v>
      </c>
      <c r="O388" s="3">
        <v>6.52</v>
      </c>
      <c r="P388" s="3">
        <v>3.38</v>
      </c>
      <c r="Q388" s="3">
        <v>6.4</v>
      </c>
      <c r="R388" s="3">
        <v>10.28</v>
      </c>
      <c r="S388" s="3">
        <v>10.77</v>
      </c>
      <c r="T388" s="3">
        <v>4.98</v>
      </c>
      <c r="U388" s="3">
        <v>6.24</v>
      </c>
      <c r="V388" s="3">
        <v>5.03</v>
      </c>
      <c r="W388" s="3">
        <v>5.1</v>
      </c>
      <c r="X388" s="3">
        <v>5.14</v>
      </c>
      <c r="Y388" s="3">
        <v>4.98</v>
      </c>
      <c r="Z388" s="3">
        <v>6.8</v>
      </c>
      <c r="AA388" s="3">
        <v>6.59</v>
      </c>
      <c r="AB388" s="3">
        <v>6.39</v>
      </c>
      <c r="AC388" s="3">
        <v>4.98</v>
      </c>
      <c r="AD388" s="3">
        <v>5.14</v>
      </c>
      <c r="AE388" s="3">
        <v>5.6</v>
      </c>
      <c r="AF388" s="3">
        <v>13.44</v>
      </c>
    </row>
    <row r="389" ht="15.75" customHeight="1">
      <c r="A389" s="2" t="s">
        <v>1</v>
      </c>
      <c r="B389" s="2">
        <f>SUM(B388:AI388)</f>
        <v>816.92</v>
      </c>
    </row>
    <row r="390" ht="15.75" customHeight="1"/>
    <row r="391" ht="15.75" customHeight="1">
      <c r="A391" s="1">
        <v>45108.0</v>
      </c>
    </row>
    <row r="392" ht="15.75" customHeight="1">
      <c r="A392" s="2" t="s">
        <v>46</v>
      </c>
      <c r="B392" s="3">
        <v>42.5</v>
      </c>
      <c r="C392" s="3">
        <v>27.6</v>
      </c>
      <c r="D392" s="3">
        <v>73.07</v>
      </c>
      <c r="E392" s="3">
        <v>136.0</v>
      </c>
      <c r="F392" s="3">
        <v>66.44</v>
      </c>
      <c r="G392" s="3">
        <v>48.22</v>
      </c>
      <c r="H392" s="3">
        <v>20.0</v>
      </c>
      <c r="I392" s="3">
        <v>23.97</v>
      </c>
      <c r="J392" s="3">
        <v>23.02</v>
      </c>
      <c r="K392" s="3">
        <v>29.88</v>
      </c>
      <c r="L392" s="3">
        <v>19.65</v>
      </c>
      <c r="M392" s="3">
        <v>6.93</v>
      </c>
      <c r="N392" s="3">
        <v>6.91</v>
      </c>
      <c r="O392" s="3">
        <v>500.0</v>
      </c>
      <c r="P392" s="3">
        <v>5.9</v>
      </c>
      <c r="Q392" s="3">
        <v>7.95</v>
      </c>
      <c r="R392" s="3">
        <v>17.9</v>
      </c>
      <c r="S392" s="3">
        <v>6.98</v>
      </c>
      <c r="T392" s="3">
        <v>11.92</v>
      </c>
      <c r="U392" s="3">
        <v>6.98</v>
      </c>
      <c r="V392" s="3">
        <v>11.92</v>
      </c>
      <c r="W392" s="3">
        <v>6.93</v>
      </c>
      <c r="X392" s="3">
        <v>6.19</v>
      </c>
      <c r="Y392" s="3">
        <v>5.9</v>
      </c>
      <c r="Z392" s="3">
        <v>14.91</v>
      </c>
      <c r="AA392" s="3">
        <v>12.2</v>
      </c>
      <c r="AB392" s="3">
        <v>5.61</v>
      </c>
      <c r="AC392" s="3">
        <v>7.96</v>
      </c>
      <c r="AD392" s="3">
        <v>6.93</v>
      </c>
      <c r="AE392" s="3">
        <v>5.9</v>
      </c>
      <c r="AF392" s="3">
        <v>6.92</v>
      </c>
      <c r="AG392" s="3">
        <v>9.0</v>
      </c>
      <c r="AH392" s="3">
        <v>5.85</v>
      </c>
      <c r="AI392" s="3">
        <v>6.93</v>
      </c>
      <c r="AJ392" s="3">
        <v>5.31</v>
      </c>
      <c r="AK392" s="3">
        <v>5.49</v>
      </c>
      <c r="AL392" s="3">
        <v>6.91</v>
      </c>
      <c r="AM392" s="3">
        <v>5.9</v>
      </c>
      <c r="AN392" s="3">
        <v>7.9</v>
      </c>
      <c r="AO392" s="3">
        <v>5.17</v>
      </c>
      <c r="AP392" s="3">
        <v>5.17</v>
      </c>
      <c r="AQ392" s="3">
        <v>5.7</v>
      </c>
      <c r="AR392" s="3">
        <v>13.44</v>
      </c>
    </row>
    <row r="393" ht="15.75" customHeight="1">
      <c r="A393" s="2" t="s">
        <v>1</v>
      </c>
      <c r="B393" s="2">
        <f>SUM(B392:AS392)</f>
        <v>1255.96</v>
      </c>
    </row>
    <row r="394" ht="15.75" customHeight="1"/>
    <row r="395" ht="15.75" customHeight="1">
      <c r="A395" s="1">
        <v>45139.0</v>
      </c>
    </row>
    <row r="396" ht="15.75" customHeight="1">
      <c r="A396" s="2" t="s">
        <v>46</v>
      </c>
      <c r="B396" s="3">
        <v>42.5</v>
      </c>
      <c r="C396" s="3">
        <v>73.07</v>
      </c>
      <c r="D396" s="3">
        <v>136.0</v>
      </c>
      <c r="E396" s="3">
        <v>20.0</v>
      </c>
      <c r="F396" s="3">
        <v>23.97</v>
      </c>
      <c r="G396" s="3">
        <v>23.02</v>
      </c>
      <c r="H396" s="3">
        <v>29.88</v>
      </c>
      <c r="I396" s="3">
        <v>19.65</v>
      </c>
      <c r="J396" s="3">
        <v>13.44</v>
      </c>
      <c r="K396" s="3">
        <v>500.0</v>
      </c>
      <c r="L396" s="3">
        <v>6.61</v>
      </c>
      <c r="M396" s="3">
        <v>5.8</v>
      </c>
      <c r="N396" s="3">
        <v>8.1</v>
      </c>
      <c r="O396" s="3">
        <v>6.64</v>
      </c>
      <c r="P396" s="3">
        <v>7.1</v>
      </c>
      <c r="Q396" s="3">
        <v>11.63</v>
      </c>
      <c r="R396" s="3">
        <v>12.34</v>
      </c>
      <c r="S396" s="3">
        <v>7.6</v>
      </c>
      <c r="T396" s="3">
        <v>7.07</v>
      </c>
      <c r="U396" s="3">
        <v>5.4</v>
      </c>
      <c r="V396" s="3">
        <v>7.31</v>
      </c>
      <c r="W396" s="3">
        <v>6.0</v>
      </c>
      <c r="X396" s="3">
        <v>5.59</v>
      </c>
      <c r="Y396" s="3">
        <v>6.6</v>
      </c>
      <c r="Z396" s="3">
        <v>5.89</v>
      </c>
      <c r="AA396" s="3">
        <v>5.77</v>
      </c>
      <c r="AB396" s="3">
        <v>6.6</v>
      </c>
      <c r="AC396" s="3">
        <v>6.0</v>
      </c>
      <c r="AD396" s="3">
        <v>6.4</v>
      </c>
      <c r="AE396" s="3">
        <v>127.8</v>
      </c>
      <c r="AF396" s="3">
        <v>6.6</v>
      </c>
      <c r="AG396" s="3">
        <v>7.93</v>
      </c>
      <c r="AH396" s="3">
        <v>8.37</v>
      </c>
      <c r="AI396" s="3">
        <v>8.09</v>
      </c>
      <c r="AJ396" s="3">
        <v>9.39</v>
      </c>
      <c r="AK396" s="3">
        <v>6.3</v>
      </c>
      <c r="AL396" s="3">
        <v>152.0</v>
      </c>
      <c r="AM396" s="3">
        <v>5.71</v>
      </c>
    </row>
    <row r="397" ht="15.75" customHeight="1">
      <c r="A397" s="2" t="s">
        <v>1</v>
      </c>
      <c r="B397" s="2">
        <f>SUM(B396:AW396)</f>
        <v>1348.17</v>
      </c>
    </row>
    <row r="398" ht="15.75" customHeight="1"/>
    <row r="399" ht="15.75" customHeight="1">
      <c r="A399" s="13">
        <v>45170.0</v>
      </c>
    </row>
    <row r="400" ht="15.75" customHeight="1">
      <c r="A400" s="14" t="s">
        <v>47</v>
      </c>
      <c r="B400" s="15">
        <v>136.0</v>
      </c>
      <c r="C400" s="15">
        <v>73.07</v>
      </c>
      <c r="D400" s="15">
        <v>5.22</v>
      </c>
      <c r="E400" s="15">
        <v>7.91</v>
      </c>
      <c r="F400" s="15">
        <v>7.96</v>
      </c>
      <c r="G400" s="15">
        <v>7.7</v>
      </c>
      <c r="H400" s="15">
        <v>6.2</v>
      </c>
      <c r="I400" s="15">
        <v>5.5</v>
      </c>
      <c r="J400" s="15">
        <v>14.02</v>
      </c>
      <c r="K400" s="15">
        <v>11.13</v>
      </c>
      <c r="L400" s="15">
        <v>7.02</v>
      </c>
      <c r="M400" s="15">
        <v>13.44</v>
      </c>
      <c r="N400" s="15">
        <v>7.91</v>
      </c>
      <c r="O400" s="15">
        <v>5.59</v>
      </c>
      <c r="P400" s="15">
        <v>7.5</v>
      </c>
      <c r="Q400" s="15">
        <v>5.69</v>
      </c>
      <c r="R400" s="15">
        <v>5.86</v>
      </c>
      <c r="S400" s="15">
        <v>5.59</v>
      </c>
      <c r="T400" s="15">
        <v>5.59</v>
      </c>
      <c r="U400" s="15">
        <v>6.0</v>
      </c>
      <c r="V400" s="15">
        <v>6.0</v>
      </c>
      <c r="W400" s="15">
        <v>7.0</v>
      </c>
      <c r="X400" s="15">
        <v>7.56</v>
      </c>
      <c r="Y400" s="15">
        <v>11.68</v>
      </c>
      <c r="Z400" s="15">
        <v>6.0</v>
      </c>
      <c r="AA400" s="15">
        <v>5.4</v>
      </c>
      <c r="AB400" s="15">
        <v>6.0</v>
      </c>
      <c r="AC400" s="15">
        <v>500.0</v>
      </c>
    </row>
    <row r="401" ht="15.75" customHeight="1">
      <c r="A401" s="2" t="s">
        <v>48</v>
      </c>
      <c r="B401" s="16">
        <v>109.0</v>
      </c>
      <c r="C401" s="15">
        <v>22.0</v>
      </c>
      <c r="D401" s="15">
        <v>28.0</v>
      </c>
      <c r="E401" s="3">
        <v>42.5</v>
      </c>
      <c r="F401" s="15">
        <v>20.0</v>
      </c>
    </row>
    <row r="402" ht="15.75" customHeight="1">
      <c r="A402" s="2" t="s">
        <v>1</v>
      </c>
      <c r="B402" s="2">
        <f>SUM(B400:AH401)</f>
        <v>1116.04</v>
      </c>
    </row>
    <row r="403" ht="15.75" customHeight="1"/>
    <row r="404" ht="15.75" customHeight="1">
      <c r="A404" s="13">
        <v>45200.0</v>
      </c>
    </row>
    <row r="405" ht="15.75" customHeight="1">
      <c r="A405" s="14" t="s">
        <v>47</v>
      </c>
      <c r="B405" s="15">
        <v>73.07</v>
      </c>
      <c r="C405" s="15">
        <v>4.35</v>
      </c>
      <c r="D405" s="15">
        <v>4.8</v>
      </c>
      <c r="E405" s="15">
        <v>14.93</v>
      </c>
      <c r="F405" s="15">
        <v>13.44</v>
      </c>
      <c r="G405" s="15">
        <v>6.4</v>
      </c>
      <c r="H405" s="15">
        <v>6.0</v>
      </c>
      <c r="I405" s="15">
        <v>12.7</v>
      </c>
      <c r="J405" s="15">
        <v>5.94</v>
      </c>
      <c r="K405" s="15">
        <v>6.3</v>
      </c>
      <c r="L405" s="15">
        <v>81.0</v>
      </c>
      <c r="M405" s="15">
        <v>6.66</v>
      </c>
      <c r="N405" s="15">
        <v>6.12</v>
      </c>
      <c r="O405" s="15">
        <v>13.76</v>
      </c>
      <c r="P405" s="15">
        <v>9.36</v>
      </c>
      <c r="Q405" s="15">
        <v>150.0</v>
      </c>
      <c r="R405" s="15">
        <v>6.09</v>
      </c>
      <c r="S405" s="15">
        <v>500.0</v>
      </c>
      <c r="T405" s="15">
        <v>5.7</v>
      </c>
      <c r="U405" s="15">
        <v>5.85</v>
      </c>
      <c r="V405" s="15">
        <v>5.02</v>
      </c>
      <c r="W405" s="15">
        <v>5.01</v>
      </c>
      <c r="X405" s="15">
        <v>5.77</v>
      </c>
      <c r="Y405" s="15">
        <v>6.8</v>
      </c>
      <c r="Z405" s="15">
        <v>333.34</v>
      </c>
      <c r="AA405" s="15">
        <v>4.35</v>
      </c>
    </row>
    <row r="406" ht="15.75" customHeight="1">
      <c r="A406" s="2" t="s">
        <v>48</v>
      </c>
    </row>
    <row r="407" ht="15.75" customHeight="1">
      <c r="A407" s="2" t="s">
        <v>1</v>
      </c>
    </row>
    <row r="408" ht="15.75" customHeight="1"/>
    <row r="409" ht="15.75" customHeight="1">
      <c r="A409" s="13">
        <v>45231.0</v>
      </c>
      <c r="AO409" s="17"/>
    </row>
    <row r="410" ht="15.75" customHeight="1">
      <c r="A410" s="14" t="s">
        <v>47</v>
      </c>
      <c r="B410" s="15">
        <v>73.07</v>
      </c>
      <c r="C410" s="15">
        <v>5.9</v>
      </c>
      <c r="D410" s="15">
        <v>4.5</v>
      </c>
      <c r="E410" s="15">
        <v>5.32</v>
      </c>
      <c r="F410" s="15">
        <v>3.0</v>
      </c>
      <c r="G410" s="15">
        <v>5.59</v>
      </c>
      <c r="H410" s="15">
        <v>13.44</v>
      </c>
      <c r="I410" s="15">
        <v>4.95</v>
      </c>
      <c r="J410" s="15">
        <v>5.59</v>
      </c>
      <c r="K410" s="15">
        <v>7.74</v>
      </c>
      <c r="L410" s="15">
        <v>14.02</v>
      </c>
      <c r="M410" s="15">
        <v>4.5</v>
      </c>
      <c r="N410" s="15">
        <v>4.95</v>
      </c>
      <c r="O410" s="15">
        <v>1.6</v>
      </c>
      <c r="P410" s="15">
        <v>6.07</v>
      </c>
      <c r="Q410" s="15">
        <v>216.0</v>
      </c>
      <c r="R410" s="15">
        <v>5.02</v>
      </c>
      <c r="S410" s="15">
        <v>4.5</v>
      </c>
      <c r="T410" s="15">
        <v>4.5</v>
      </c>
      <c r="U410" s="15">
        <v>5.25</v>
      </c>
      <c r="V410" s="15">
        <v>4.5</v>
      </c>
      <c r="W410" s="15">
        <v>4.95</v>
      </c>
      <c r="X410" s="15">
        <v>5.62</v>
      </c>
      <c r="Y410" s="15">
        <v>6.97</v>
      </c>
      <c r="Z410" s="15">
        <v>98.5</v>
      </c>
      <c r="AA410" s="15">
        <v>5.85</v>
      </c>
      <c r="AB410" s="15">
        <v>5.7</v>
      </c>
      <c r="AC410" s="15">
        <v>5.17</v>
      </c>
      <c r="AD410" s="15">
        <v>4.5</v>
      </c>
      <c r="AE410" s="15">
        <v>5.1</v>
      </c>
      <c r="AF410" s="15">
        <v>5.62</v>
      </c>
      <c r="AG410" s="15">
        <v>6.3</v>
      </c>
      <c r="AH410" s="15">
        <v>333.34</v>
      </c>
      <c r="AI410" s="15">
        <v>81.0</v>
      </c>
      <c r="AJ410" s="15">
        <v>500.0</v>
      </c>
      <c r="AK410" s="15">
        <v>6.75</v>
      </c>
      <c r="AL410" s="15">
        <v>6.2</v>
      </c>
      <c r="AM410" s="15">
        <v>5.95</v>
      </c>
      <c r="AN410" s="15">
        <v>5.94</v>
      </c>
      <c r="AO410" s="15">
        <v>4.5</v>
      </c>
      <c r="AP410" s="15">
        <v>6.3</v>
      </c>
    </row>
    <row r="411" ht="15.75" customHeight="1">
      <c r="A411" s="2" t="s">
        <v>48</v>
      </c>
    </row>
    <row r="412" ht="15.75" customHeight="1">
      <c r="A412" s="2" t="s">
        <v>1</v>
      </c>
      <c r="B412" s="2">
        <f>SUM(B410:AQ410)</f>
        <v>1504.27</v>
      </c>
    </row>
    <row r="413" ht="15.75" customHeight="1"/>
    <row r="414" ht="15.75" customHeight="1">
      <c r="A414" s="13">
        <v>45261.0</v>
      </c>
    </row>
    <row r="415" ht="15.75" customHeight="1">
      <c r="A415" s="14" t="s">
        <v>47</v>
      </c>
      <c r="B415" s="15">
        <v>73.07</v>
      </c>
      <c r="C415" s="15">
        <v>333.34</v>
      </c>
      <c r="D415" s="15">
        <v>98.5</v>
      </c>
      <c r="E415" s="15">
        <v>216.0</v>
      </c>
      <c r="F415" s="15">
        <v>57.72</v>
      </c>
      <c r="G415" s="15">
        <v>35.74</v>
      </c>
      <c r="H415" s="15">
        <v>5.59</v>
      </c>
      <c r="I415" s="15">
        <v>6.37</v>
      </c>
      <c r="J415" s="15">
        <v>5.59</v>
      </c>
      <c r="K415" s="15">
        <v>7.09</v>
      </c>
      <c r="L415" s="15">
        <v>14.95</v>
      </c>
      <c r="M415" s="15">
        <v>5.86</v>
      </c>
      <c r="N415" s="15">
        <v>9.4</v>
      </c>
      <c r="O415" s="15">
        <v>5.4</v>
      </c>
      <c r="P415" s="15">
        <v>78.99</v>
      </c>
      <c r="Q415" s="15">
        <v>6.0</v>
      </c>
      <c r="R415" s="15">
        <v>6.28</v>
      </c>
      <c r="S415" s="15">
        <v>5.1</v>
      </c>
      <c r="T415" s="15">
        <v>4.95</v>
      </c>
      <c r="U415" s="15">
        <v>5.7</v>
      </c>
      <c r="V415" s="15">
        <v>12.02</v>
      </c>
      <c r="W415" s="15">
        <v>6.43</v>
      </c>
      <c r="X415" s="15">
        <v>5.23</v>
      </c>
      <c r="Y415" s="15">
        <v>4.5</v>
      </c>
      <c r="Z415" s="15">
        <v>14.88</v>
      </c>
      <c r="AA415" s="15">
        <v>4.84</v>
      </c>
      <c r="AB415" s="15">
        <v>7.16</v>
      </c>
      <c r="AC415" s="15">
        <v>4.84</v>
      </c>
      <c r="AD415" s="15">
        <v>5.65</v>
      </c>
      <c r="AE415" s="15">
        <v>5.95</v>
      </c>
      <c r="AF415" s="15">
        <v>7.99</v>
      </c>
      <c r="AG415" s="15">
        <v>9.59</v>
      </c>
      <c r="AH415" s="15">
        <v>5.1</v>
      </c>
      <c r="AI415" s="15">
        <v>57.6</v>
      </c>
      <c r="AJ415" s="15">
        <v>15.78</v>
      </c>
      <c r="AK415" s="15">
        <v>5.4</v>
      </c>
      <c r="AL415" s="15">
        <v>13.44</v>
      </c>
    </row>
    <row r="416" ht="15.75" customHeight="1">
      <c r="A416" s="2" t="s">
        <v>48</v>
      </c>
      <c r="B416" s="15">
        <v>109.88</v>
      </c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</row>
    <row r="417" ht="15.75" customHeight="1">
      <c r="A417" s="2" t="s">
        <v>1</v>
      </c>
    </row>
    <row r="418" ht="15.75" customHeight="1"/>
    <row r="419" ht="15.75" customHeight="1">
      <c r="A419" s="18">
        <v>44927.0</v>
      </c>
    </row>
    <row r="420" ht="15.75" customHeight="1">
      <c r="A420" s="14" t="s">
        <v>47</v>
      </c>
      <c r="B420" s="15">
        <v>7.42</v>
      </c>
      <c r="C420" s="15">
        <v>5.08</v>
      </c>
      <c r="D420" s="15">
        <v>4.57</v>
      </c>
      <c r="E420" s="15">
        <v>4.84</v>
      </c>
      <c r="F420" s="15">
        <v>4.84</v>
      </c>
      <c r="G420" s="15">
        <v>4.77</v>
      </c>
      <c r="H420" s="15">
        <v>9.21</v>
      </c>
      <c r="I420" s="15">
        <v>8.89</v>
      </c>
      <c r="J420" s="15">
        <v>13.44</v>
      </c>
      <c r="K420" s="15">
        <v>4.87</v>
      </c>
      <c r="L420" s="15">
        <v>5.59</v>
      </c>
      <c r="M420" s="15">
        <v>6.58</v>
      </c>
      <c r="N420" s="15">
        <v>7.89</v>
      </c>
      <c r="O420" s="15">
        <v>41.83</v>
      </c>
      <c r="P420" s="15">
        <v>9.63</v>
      </c>
      <c r="Q420" s="15">
        <v>5.12</v>
      </c>
      <c r="R420" s="15">
        <v>9.25</v>
      </c>
      <c r="S420" s="15">
        <v>6.19</v>
      </c>
      <c r="T420" s="15">
        <v>5.25</v>
      </c>
      <c r="U420" s="15">
        <v>4.87</v>
      </c>
      <c r="V420" s="15">
        <v>5.82</v>
      </c>
      <c r="W420" s="15">
        <v>6.88</v>
      </c>
      <c r="X420" s="15">
        <v>42.9</v>
      </c>
      <c r="Y420" s="15">
        <v>203.0</v>
      </c>
      <c r="Z420" s="15">
        <v>34.68</v>
      </c>
      <c r="AA420" s="15">
        <v>200.0</v>
      </c>
      <c r="AB420" s="15">
        <v>5.85</v>
      </c>
      <c r="AC420" s="15">
        <v>29.91</v>
      </c>
      <c r="AD420" s="15">
        <v>6.98</v>
      </c>
      <c r="AE420" s="15">
        <v>57.94</v>
      </c>
      <c r="AF420" s="15">
        <v>6.09</v>
      </c>
      <c r="AG420" s="15">
        <v>78.99</v>
      </c>
      <c r="AH420" s="15">
        <v>57.72</v>
      </c>
      <c r="AI420" s="15">
        <v>216.0</v>
      </c>
    </row>
    <row r="421" ht="15.75" customHeight="1">
      <c r="A421" s="2" t="s">
        <v>48</v>
      </c>
    </row>
    <row r="422" ht="15.75" customHeight="1">
      <c r="A422" s="2" t="s">
        <v>1</v>
      </c>
      <c r="B422" s="2">
        <f>SUM(B420:AM420)</f>
        <v>1122.89</v>
      </c>
    </row>
    <row r="423" ht="15.75" customHeight="1"/>
    <row r="424" ht="15.75" customHeight="1">
      <c r="A424" s="18">
        <v>44958.0</v>
      </c>
    </row>
    <row r="425" ht="15.75" customHeight="1">
      <c r="A425" s="14" t="s">
        <v>47</v>
      </c>
      <c r="B425" s="15">
        <v>216.0</v>
      </c>
      <c r="C425" s="15">
        <v>78.99</v>
      </c>
      <c r="D425" s="15">
        <v>29.91</v>
      </c>
      <c r="E425" s="15">
        <v>203.0</v>
      </c>
      <c r="F425" s="15">
        <v>34.68</v>
      </c>
      <c r="G425" s="15">
        <v>41.83</v>
      </c>
      <c r="H425" s="15">
        <v>4.84</v>
      </c>
      <c r="I425" s="15">
        <v>4.87</v>
      </c>
      <c r="J425" s="15">
        <v>4.5</v>
      </c>
      <c r="K425" s="15">
        <v>5.81</v>
      </c>
      <c r="L425" s="15">
        <v>4.95</v>
      </c>
      <c r="M425" s="15">
        <v>4.87</v>
      </c>
      <c r="N425" s="15">
        <v>8.67</v>
      </c>
      <c r="O425" s="15">
        <v>4.99</v>
      </c>
      <c r="P425" s="15">
        <v>6.06</v>
      </c>
      <c r="Q425" s="15">
        <v>4.57</v>
      </c>
      <c r="R425" s="15">
        <v>5.17</v>
      </c>
      <c r="S425" s="15">
        <v>13.2</v>
      </c>
      <c r="T425" s="15">
        <v>5.82</v>
      </c>
      <c r="U425" s="15">
        <v>6.0</v>
      </c>
      <c r="V425" s="15">
        <v>5.05</v>
      </c>
      <c r="W425" s="15">
        <v>4.84</v>
      </c>
      <c r="X425" s="15">
        <v>7.5</v>
      </c>
      <c r="Y425" s="15">
        <v>6.05</v>
      </c>
      <c r="Z425" s="15">
        <v>5.33</v>
      </c>
      <c r="AA425" s="15">
        <v>5.86</v>
      </c>
      <c r="AB425" s="15">
        <v>7.7</v>
      </c>
      <c r="AC425" s="15">
        <v>5.4</v>
      </c>
      <c r="AD425" s="15">
        <v>6.82</v>
      </c>
      <c r="AE425" s="15">
        <v>5.84</v>
      </c>
      <c r="AF425" s="15">
        <v>6.3</v>
      </c>
      <c r="AG425" s="15">
        <v>4.84</v>
      </c>
      <c r="AH425" s="15">
        <v>6.8</v>
      </c>
      <c r="AI425" s="15">
        <v>6.09</v>
      </c>
      <c r="AJ425" s="15">
        <v>7.91</v>
      </c>
      <c r="AK425" s="15">
        <v>5.17</v>
      </c>
      <c r="AL425" s="15">
        <v>4.5</v>
      </c>
      <c r="AM425" s="15">
        <v>14.06</v>
      </c>
    </row>
    <row r="426" ht="15.75" customHeight="1">
      <c r="A426" s="2" t="s">
        <v>48</v>
      </c>
      <c r="B426" s="19">
        <v>66.0</v>
      </c>
    </row>
    <row r="427" ht="15.75" customHeight="1">
      <c r="A427" s="2" t="s">
        <v>1</v>
      </c>
      <c r="B427" s="2">
        <f>SUM(B425:AN426)</f>
        <v>870.79</v>
      </c>
    </row>
    <row r="428" ht="15.75" customHeight="1"/>
    <row r="429" ht="15.75" customHeight="1">
      <c r="A429" s="18">
        <v>44986.0</v>
      </c>
    </row>
    <row r="430" ht="15.75" customHeight="1">
      <c r="A430" s="14" t="s">
        <v>47</v>
      </c>
      <c r="B430" s="15">
        <v>216.0</v>
      </c>
      <c r="C430" s="15">
        <v>203.0</v>
      </c>
      <c r="D430" s="15">
        <v>34.68</v>
      </c>
      <c r="E430" s="15">
        <v>41.83</v>
      </c>
      <c r="F430" s="15">
        <v>5.84</v>
      </c>
      <c r="G430" s="15">
        <v>90.0</v>
      </c>
      <c r="H430" s="15">
        <v>29.95</v>
      </c>
      <c r="I430" s="15">
        <v>22.0</v>
      </c>
      <c r="J430" s="15">
        <v>20.86</v>
      </c>
      <c r="K430" s="15">
        <v>6.6</v>
      </c>
      <c r="L430" s="15">
        <v>25.15</v>
      </c>
      <c r="M430" s="15">
        <v>6.25</v>
      </c>
      <c r="N430" s="15">
        <v>28.9</v>
      </c>
      <c r="O430" s="15">
        <v>6.24</v>
      </c>
      <c r="P430" s="15">
        <v>6.36</v>
      </c>
      <c r="Q430" s="15">
        <v>23.43</v>
      </c>
      <c r="R430" s="15">
        <v>5.15</v>
      </c>
      <c r="S430" s="15">
        <v>5.21</v>
      </c>
      <c r="T430" s="15">
        <v>6.3</v>
      </c>
      <c r="U430" s="15">
        <v>6.24</v>
      </c>
      <c r="V430" s="15">
        <v>13.63</v>
      </c>
      <c r="W430" s="15">
        <v>5.55</v>
      </c>
      <c r="X430" s="15">
        <v>74.66</v>
      </c>
      <c r="Y430" s="15">
        <v>5.64</v>
      </c>
      <c r="Z430" s="15">
        <v>4.57</v>
      </c>
      <c r="AA430" s="15">
        <v>5.32</v>
      </c>
      <c r="AB430" s="15">
        <v>11.57</v>
      </c>
      <c r="AC430" s="15">
        <v>6.3</v>
      </c>
      <c r="AD430" s="15">
        <v>11.7</v>
      </c>
      <c r="AE430" s="15">
        <v>6.5</v>
      </c>
      <c r="AF430" s="15">
        <v>7.31</v>
      </c>
      <c r="AG430" s="15">
        <v>3.12</v>
      </c>
      <c r="AH430" s="15">
        <v>5.81</v>
      </c>
      <c r="AI430" s="15">
        <v>70.0</v>
      </c>
      <c r="AJ430" s="15">
        <v>5.56</v>
      </c>
      <c r="AK430" s="15">
        <v>5.75</v>
      </c>
      <c r="AL430" s="15">
        <v>58.9</v>
      </c>
      <c r="AM430" s="15">
        <v>8.54</v>
      </c>
      <c r="AN430" s="15">
        <v>6.45</v>
      </c>
      <c r="AO430" s="15">
        <v>5.23</v>
      </c>
      <c r="AP430" s="15">
        <v>3.93</v>
      </c>
      <c r="AQ430" s="15">
        <v>47.97</v>
      </c>
      <c r="AR430" s="15">
        <v>14.06</v>
      </c>
    </row>
    <row r="431" ht="15.75" customHeight="1">
      <c r="A431" s="2" t="s">
        <v>48</v>
      </c>
    </row>
    <row r="432" ht="15.75" customHeight="1">
      <c r="A432" s="2" t="s">
        <v>1</v>
      </c>
      <c r="B432" s="2">
        <f>SUM(B430:AR431)</f>
        <v>1178.06</v>
      </c>
    </row>
    <row r="433" ht="15.75" customHeight="1"/>
    <row r="434" ht="15.75" customHeight="1">
      <c r="A434" s="18"/>
    </row>
    <row r="435" ht="15.75" customHeight="1">
      <c r="A435" s="14"/>
    </row>
    <row r="436" ht="15.75" customHeight="1"/>
    <row r="437" ht="15.75" customHeight="1"/>
    <row r="438" ht="15.75" customHeight="1"/>
    <row r="439" ht="15.75" customHeight="1">
      <c r="A439" s="18">
        <v>45627.0</v>
      </c>
    </row>
    <row r="440" ht="15.75" customHeight="1">
      <c r="A440" s="14" t="s">
        <v>47</v>
      </c>
    </row>
    <row r="441" ht="15.75" customHeight="1">
      <c r="A441" s="19" t="s">
        <v>49</v>
      </c>
      <c r="B441" s="15">
        <v>166.14</v>
      </c>
      <c r="C441" s="15">
        <v>19.67</v>
      </c>
      <c r="D441" s="15">
        <v>29.84</v>
      </c>
      <c r="E441" s="15">
        <v>132.0</v>
      </c>
    </row>
    <row r="442" ht="15.75" customHeight="1">
      <c r="A442" s="2" t="s">
        <v>1</v>
      </c>
    </row>
    <row r="443" ht="15.75" customHeight="1"/>
    <row r="444" ht="15.75" customHeight="1">
      <c r="A444" s="18">
        <v>45658.0</v>
      </c>
    </row>
    <row r="445" ht="15.75" customHeight="1">
      <c r="A445" s="14" t="s">
        <v>47</v>
      </c>
    </row>
    <row r="446" ht="15.75" customHeight="1">
      <c r="A446" s="19" t="s">
        <v>49</v>
      </c>
      <c r="B446" s="15">
        <v>166.14</v>
      </c>
      <c r="C446" s="15">
        <v>19.67</v>
      </c>
      <c r="D446" s="15">
        <v>29.84</v>
      </c>
      <c r="E446" s="15">
        <v>88.7</v>
      </c>
    </row>
    <row r="447" ht="15.75" customHeight="1">
      <c r="A447" s="2" t="s">
        <v>1</v>
      </c>
    </row>
    <row r="448" ht="15.75" customHeight="1"/>
    <row r="449" ht="15.75" customHeight="1">
      <c r="A449" s="18">
        <v>45689.0</v>
      </c>
    </row>
    <row r="450" ht="15.75" customHeight="1">
      <c r="A450" s="14" t="s">
        <v>47</v>
      </c>
    </row>
    <row r="451" ht="15.75" customHeight="1">
      <c r="A451" s="19" t="s">
        <v>48</v>
      </c>
      <c r="B451" s="15">
        <v>166.15</v>
      </c>
      <c r="C451" s="15">
        <v>29.84</v>
      </c>
      <c r="D451" s="15">
        <v>88.6</v>
      </c>
    </row>
    <row r="452" ht="15.75" customHeight="1">
      <c r="A452" s="2" t="s">
        <v>1</v>
      </c>
    </row>
    <row r="453" ht="15.75" customHeight="1"/>
    <row r="454" ht="15.75" customHeight="1">
      <c r="A454" s="18">
        <v>45717.0</v>
      </c>
    </row>
    <row r="455" ht="15.75" customHeight="1">
      <c r="A455" s="14" t="s">
        <v>47</v>
      </c>
    </row>
    <row r="456" ht="15.75" customHeight="1">
      <c r="A456" s="19" t="s">
        <v>48</v>
      </c>
      <c r="B456" s="15">
        <v>166.14</v>
      </c>
      <c r="C456" s="15">
        <v>88.66</v>
      </c>
      <c r="D456" s="15">
        <v>29.84</v>
      </c>
      <c r="E456" s="15">
        <v>61.59</v>
      </c>
      <c r="F456" s="15">
        <v>19.9</v>
      </c>
    </row>
    <row r="457" ht="15.75" customHeight="1">
      <c r="A457" s="2" t="s">
        <v>1</v>
      </c>
    </row>
    <row r="458" ht="15.75" customHeight="1"/>
    <row r="459" ht="15.75" customHeight="1">
      <c r="A459" s="18">
        <v>45748.0</v>
      </c>
    </row>
    <row r="460" ht="15.75" customHeight="1">
      <c r="A460" s="14" t="s">
        <v>47</v>
      </c>
    </row>
    <row r="461" ht="15.75" customHeight="1">
      <c r="A461" s="19" t="s">
        <v>48</v>
      </c>
      <c r="B461" s="15">
        <v>88.66</v>
      </c>
      <c r="C461" s="15">
        <v>29.84</v>
      </c>
      <c r="D461" s="15">
        <v>124.2</v>
      </c>
    </row>
    <row r="462" ht="15.75" customHeight="1">
      <c r="A462" s="2" t="s">
        <v>1</v>
      </c>
    </row>
    <row r="463" ht="15.75" customHeight="1"/>
    <row r="464" ht="15.75" customHeight="1">
      <c r="A464" s="18">
        <v>45778.0</v>
      </c>
    </row>
    <row r="465" ht="15.75" customHeight="1">
      <c r="A465" s="14" t="s">
        <v>47</v>
      </c>
    </row>
    <row r="466" ht="15.75" customHeight="1">
      <c r="A466" s="19" t="s">
        <v>48</v>
      </c>
      <c r="B466" s="15">
        <v>88.66</v>
      </c>
    </row>
    <row r="467" ht="15.75" customHeight="1">
      <c r="A467" s="2" t="s">
        <v>1</v>
      </c>
    </row>
    <row r="468" ht="15.75" customHeight="1"/>
    <row r="469" ht="15.75" customHeight="1">
      <c r="A469" s="18">
        <v>45809.0</v>
      </c>
    </row>
    <row r="470" ht="15.75" customHeight="1">
      <c r="A470" s="14" t="s">
        <v>47</v>
      </c>
    </row>
    <row r="471" ht="15.75" customHeight="1">
      <c r="A471" s="19" t="s">
        <v>48</v>
      </c>
      <c r="B471" s="15">
        <v>88.66</v>
      </c>
    </row>
    <row r="472" ht="15.75" customHeight="1">
      <c r="A472" s="2" t="s">
        <v>1</v>
      </c>
    </row>
    <row r="473" ht="15.75" customHeight="1"/>
    <row r="474" ht="15.75" customHeight="1">
      <c r="A474" s="18">
        <v>45839.0</v>
      </c>
    </row>
    <row r="475" ht="15.75" customHeight="1">
      <c r="A475" s="14" t="s">
        <v>47</v>
      </c>
    </row>
    <row r="476" ht="15.75" customHeight="1">
      <c r="A476" s="19" t="s">
        <v>48</v>
      </c>
      <c r="B476" s="15">
        <v>88.6</v>
      </c>
      <c r="C476" s="15">
        <v>120.0</v>
      </c>
    </row>
    <row r="477" ht="15.75" customHeight="1">
      <c r="A477" s="2" t="s">
        <v>1</v>
      </c>
    </row>
    <row r="478" ht="15.75" customHeight="1"/>
    <row r="479" ht="15.75" customHeight="1">
      <c r="A479" s="18">
        <v>45870.0</v>
      </c>
    </row>
    <row r="480" ht="15.75" customHeight="1">
      <c r="A480" s="14" t="s">
        <v>47</v>
      </c>
    </row>
    <row r="481" ht="15.75" customHeight="1">
      <c r="A481" s="19" t="s">
        <v>48</v>
      </c>
    </row>
    <row r="482" ht="15.75" customHeight="1">
      <c r="A482" s="2" t="s">
        <v>1</v>
      </c>
    </row>
    <row r="483" ht="15.75" customHeight="1"/>
    <row r="484" ht="15.75" customHeight="1">
      <c r="A484" s="18">
        <v>45901.0</v>
      </c>
    </row>
    <row r="485" ht="15.75" customHeight="1">
      <c r="A485" s="14" t="s">
        <v>47</v>
      </c>
    </row>
    <row r="486" ht="15.75" customHeight="1">
      <c r="A486" s="19" t="s">
        <v>49</v>
      </c>
    </row>
    <row r="487" ht="15.75" customHeight="1">
      <c r="A487" s="2" t="s">
        <v>1</v>
      </c>
    </row>
    <row r="488" ht="15.75" customHeight="1"/>
    <row r="489" ht="15.75" customHeight="1">
      <c r="A489" s="18">
        <v>45931.0</v>
      </c>
    </row>
    <row r="490" ht="15.75" customHeight="1">
      <c r="A490" s="14" t="s">
        <v>47</v>
      </c>
    </row>
    <row r="491" ht="15.75" customHeight="1">
      <c r="A491" s="19" t="s">
        <v>48</v>
      </c>
    </row>
    <row r="492" ht="15.75" customHeight="1">
      <c r="A492" s="2" t="s">
        <v>1</v>
      </c>
    </row>
    <row r="493" ht="15.75" customHeight="1"/>
    <row r="494" ht="15.75" customHeight="1">
      <c r="A494" s="18">
        <v>45962.0</v>
      </c>
    </row>
    <row r="495" ht="15.75" customHeight="1">
      <c r="A495" s="14" t="s">
        <v>47</v>
      </c>
    </row>
    <row r="496" ht="15.75" customHeight="1">
      <c r="A496" s="19" t="s">
        <v>48</v>
      </c>
      <c r="B496" s="15">
        <v>75.96</v>
      </c>
      <c r="C496" s="15">
        <v>60.67</v>
      </c>
    </row>
    <row r="497" ht="15.75" customHeight="1">
      <c r="A497" s="2" t="s">
        <v>1</v>
      </c>
    </row>
    <row r="498" ht="15.75" customHeight="1"/>
    <row r="499" ht="15.75" customHeight="1">
      <c r="A499" s="18">
        <v>45992.0</v>
      </c>
    </row>
    <row r="500" ht="15.75" customHeight="1">
      <c r="A500" s="14" t="s">
        <v>47</v>
      </c>
    </row>
    <row r="501" ht="15.75" customHeight="1">
      <c r="A501" s="19" t="s">
        <v>48</v>
      </c>
      <c r="B501" s="15">
        <v>75.96</v>
      </c>
      <c r="C501" s="15">
        <v>60.67</v>
      </c>
      <c r="D501" s="15">
        <v>71.56</v>
      </c>
      <c r="E501" s="15">
        <v>70.7</v>
      </c>
      <c r="F501" s="15">
        <v>17.0</v>
      </c>
    </row>
    <row r="502" ht="15.75" customHeight="1">
      <c r="A502" s="2" t="s">
        <v>1</v>
      </c>
    </row>
    <row r="503" ht="15.75" customHeight="1"/>
    <row r="504" ht="15.75" customHeight="1">
      <c r="A504" s="18">
        <v>46023.0</v>
      </c>
    </row>
    <row r="505" ht="15.75" customHeight="1">
      <c r="A505" s="14" t="s">
        <v>47</v>
      </c>
    </row>
    <row r="506" ht="15.75" customHeight="1">
      <c r="A506" s="19" t="s">
        <v>48</v>
      </c>
      <c r="B506" s="15">
        <v>75.96</v>
      </c>
      <c r="C506" s="15">
        <v>60.67</v>
      </c>
    </row>
    <row r="507" ht="15.75" customHeight="1">
      <c r="A507" s="2" t="s">
        <v>1</v>
      </c>
    </row>
    <row r="508" ht="15.75" customHeight="1"/>
    <row r="509" ht="15.75" customHeight="1">
      <c r="A509" s="18">
        <v>46054.0</v>
      </c>
    </row>
    <row r="510" ht="15.75" customHeight="1">
      <c r="A510" s="14" t="s">
        <v>47</v>
      </c>
    </row>
    <row r="511" ht="15.75" customHeight="1">
      <c r="A511" s="19" t="s">
        <v>48</v>
      </c>
      <c r="B511" s="19">
        <v>75.96</v>
      </c>
    </row>
    <row r="512" ht="15.75" customHeight="1">
      <c r="A512" s="2" t="s">
        <v>1</v>
      </c>
    </row>
    <row r="513" ht="15.75" customHeight="1"/>
    <row r="514" ht="15.75" customHeight="1">
      <c r="A514" s="18">
        <v>46082.0</v>
      </c>
    </row>
    <row r="515" ht="15.75" customHeight="1">
      <c r="A515" s="14" t="s">
        <v>47</v>
      </c>
    </row>
    <row r="516" ht="15.75" customHeight="1">
      <c r="A516" s="19" t="s">
        <v>48</v>
      </c>
      <c r="B516" s="19">
        <v>75.96</v>
      </c>
    </row>
    <row r="517" ht="15.75" customHeight="1">
      <c r="A517" s="2" t="s">
        <v>1</v>
      </c>
    </row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18125" footer="0.0" header="0.0" left="0.511805555555555" right="0.511805555555555" top="1.1812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124" width="9.0"/>
  </cols>
  <sheetData>
    <row r="1">
      <c r="A1" s="1">
        <v>41334.0</v>
      </c>
    </row>
    <row r="2">
      <c r="A2" s="2" t="s">
        <v>46</v>
      </c>
      <c r="B2" s="3">
        <v>105.67</v>
      </c>
      <c r="C2" s="3">
        <v>71.4</v>
      </c>
      <c r="D2" s="3">
        <v>14.8</v>
      </c>
      <c r="E2" s="3">
        <v>4.0</v>
      </c>
      <c r="F2" s="3">
        <v>35.0</v>
      </c>
      <c r="G2" s="3">
        <v>122.65</v>
      </c>
      <c r="H2" s="3">
        <v>35.5</v>
      </c>
      <c r="I2" s="3">
        <v>51.51</v>
      </c>
      <c r="J2" s="3">
        <v>97.98</v>
      </c>
      <c r="K2" s="3">
        <v>30.0</v>
      </c>
      <c r="L2" s="3">
        <v>95.39</v>
      </c>
      <c r="M2" s="3">
        <v>37.0</v>
      </c>
      <c r="N2" s="3">
        <v>45.0</v>
      </c>
      <c r="O2" s="3">
        <v>46.8</v>
      </c>
      <c r="P2" s="3">
        <v>20.0</v>
      </c>
      <c r="Q2" s="3">
        <v>30.0</v>
      </c>
      <c r="R2" s="3">
        <v>8.75</v>
      </c>
      <c r="S2" s="3">
        <v>29.0</v>
      </c>
      <c r="T2" s="3">
        <v>52.0</v>
      </c>
      <c r="U2" s="3">
        <v>34.84</v>
      </c>
      <c r="V2" s="3">
        <v>50.7</v>
      </c>
      <c r="W2" s="3">
        <v>8.4</v>
      </c>
      <c r="X2" s="3">
        <v>25.08</v>
      </c>
      <c r="Y2" s="3">
        <v>71.23</v>
      </c>
      <c r="Z2" s="3">
        <v>33.0</v>
      </c>
    </row>
    <row r="3">
      <c r="A3" s="2" t="s">
        <v>50</v>
      </c>
      <c r="B3" s="3">
        <v>10.0</v>
      </c>
    </row>
    <row r="4">
      <c r="A4" s="2" t="s">
        <v>51</v>
      </c>
      <c r="B4" s="3">
        <v>150.0</v>
      </c>
    </row>
    <row r="5">
      <c r="A5" s="2" t="s">
        <v>52</v>
      </c>
      <c r="B5" s="3">
        <v>14.15</v>
      </c>
    </row>
    <row r="6">
      <c r="A6" s="4" t="s">
        <v>2</v>
      </c>
      <c r="B6" s="4">
        <v>1329.85</v>
      </c>
    </row>
    <row r="10">
      <c r="A10" s="1">
        <v>41365.0</v>
      </c>
    </row>
    <row r="11">
      <c r="A11" s="2" t="s">
        <v>0</v>
      </c>
      <c r="B11" s="3">
        <v>105.67</v>
      </c>
      <c r="C11" s="3">
        <v>97.98</v>
      </c>
      <c r="D11" s="3">
        <v>27.5</v>
      </c>
      <c r="E11" s="3">
        <v>18.75</v>
      </c>
      <c r="F11" s="3">
        <v>60.06</v>
      </c>
      <c r="G11" s="3">
        <v>29.0</v>
      </c>
      <c r="H11" s="3">
        <v>102.85</v>
      </c>
      <c r="I11" s="3">
        <v>18.99</v>
      </c>
      <c r="J11" s="3">
        <v>7.98</v>
      </c>
      <c r="K11" s="3">
        <v>50.0</v>
      </c>
      <c r="L11" s="3">
        <v>45.21</v>
      </c>
      <c r="M11" s="3">
        <v>22.0</v>
      </c>
      <c r="N11" s="3">
        <v>57.65</v>
      </c>
    </row>
    <row r="12">
      <c r="A12" s="2" t="s">
        <v>53</v>
      </c>
      <c r="B12" s="3">
        <v>10.0</v>
      </c>
    </row>
    <row r="13">
      <c r="A13" s="2" t="s">
        <v>54</v>
      </c>
      <c r="B13" s="3">
        <v>150.0</v>
      </c>
    </row>
    <row r="14">
      <c r="A14" s="4" t="s">
        <v>2</v>
      </c>
      <c r="B14" s="4">
        <v>803.64</v>
      </c>
      <c r="C14" s="20"/>
    </row>
    <row r="20">
      <c r="A20" s="1">
        <v>41395.0</v>
      </c>
    </row>
    <row r="21" ht="15.75" customHeight="1">
      <c r="A21" s="2" t="s">
        <v>0</v>
      </c>
      <c r="B21" s="3">
        <v>97.98</v>
      </c>
      <c r="C21" s="3">
        <v>50.82</v>
      </c>
      <c r="D21" s="3">
        <v>32.0</v>
      </c>
      <c r="E21" s="3">
        <v>58.85</v>
      </c>
      <c r="F21" s="3">
        <v>106.7</v>
      </c>
      <c r="G21" s="3">
        <v>47.0</v>
      </c>
      <c r="H21" s="3">
        <v>37.5</v>
      </c>
      <c r="I21" s="3">
        <v>51.0</v>
      </c>
      <c r="J21" s="3">
        <v>39.32</v>
      </c>
      <c r="K21" s="3">
        <v>20.5</v>
      </c>
      <c r="L21" s="3">
        <v>59.8</v>
      </c>
      <c r="M21" s="3">
        <v>19.5</v>
      </c>
      <c r="N21" s="3">
        <v>74.55</v>
      </c>
      <c r="O21" s="3">
        <v>105.7</v>
      </c>
      <c r="P21" s="3">
        <v>46.0</v>
      </c>
      <c r="Q21" s="3"/>
      <c r="R21" s="3">
        <v>847.22</v>
      </c>
    </row>
    <row r="22" ht="15.75" customHeight="1">
      <c r="A22" s="2" t="s">
        <v>53</v>
      </c>
      <c r="B22" s="3">
        <v>10.0</v>
      </c>
    </row>
    <row r="23" ht="15.75" customHeight="1">
      <c r="A23" s="2" t="s">
        <v>54</v>
      </c>
      <c r="B23" s="3">
        <v>150.0</v>
      </c>
    </row>
    <row r="24" ht="15.75" customHeight="1">
      <c r="A24" s="4" t="s">
        <v>2</v>
      </c>
      <c r="B24" s="4">
        <v>1007.22</v>
      </c>
      <c r="C24" s="5"/>
    </row>
    <row r="25" ht="15.75" customHeight="1">
      <c r="B25" s="5"/>
    </row>
    <row r="26" ht="15.75" customHeight="1"/>
    <row r="27" ht="15.75" customHeight="1"/>
    <row r="28" ht="15.75" customHeight="1"/>
    <row r="29" ht="15.75" customHeight="1"/>
    <row r="30" ht="15.75" customHeight="1">
      <c r="A30" s="1">
        <v>41426.0</v>
      </c>
    </row>
    <row r="31" ht="15.75" customHeight="1">
      <c r="A31" s="2" t="s">
        <v>46</v>
      </c>
      <c r="B31" s="3">
        <v>97.98</v>
      </c>
      <c r="C31" s="3">
        <v>59.8</v>
      </c>
      <c r="D31" s="3">
        <v>30.5</v>
      </c>
      <c r="E31" s="3">
        <v>11.95</v>
      </c>
      <c r="F31" s="3">
        <v>25.0</v>
      </c>
      <c r="G31" s="3">
        <v>17.9</v>
      </c>
      <c r="H31" s="3">
        <v>6.6</v>
      </c>
      <c r="I31" s="3">
        <v>5.4</v>
      </c>
      <c r="J31" s="3">
        <v>14.4</v>
      </c>
      <c r="K31" s="3">
        <v>40.5</v>
      </c>
      <c r="L31" s="3">
        <v>15.0</v>
      </c>
      <c r="M31" s="3">
        <v>39.5</v>
      </c>
      <c r="N31" s="3">
        <v>58.5</v>
      </c>
      <c r="O31" s="3">
        <v>9.5</v>
      </c>
      <c r="P31" s="3">
        <v>14.62</v>
      </c>
      <c r="Q31" s="3">
        <v>3.5</v>
      </c>
      <c r="R31" s="3">
        <v>25.0</v>
      </c>
      <c r="S31" s="3">
        <v>30.01</v>
      </c>
      <c r="T31" s="3">
        <v>89.25</v>
      </c>
      <c r="U31" s="3">
        <v>24.0</v>
      </c>
      <c r="V31" s="3">
        <v>54.0</v>
      </c>
      <c r="W31" s="3">
        <v>6.5</v>
      </c>
      <c r="X31" s="3">
        <v>38.0</v>
      </c>
      <c r="Y31" s="3">
        <v>32.75</v>
      </c>
      <c r="Z31" s="3">
        <v>24.0</v>
      </c>
      <c r="AA31" s="3">
        <v>15.48</v>
      </c>
      <c r="AB31" s="3">
        <v>20.16</v>
      </c>
      <c r="AC31" s="3">
        <v>33.99</v>
      </c>
      <c r="AD31" s="3"/>
      <c r="AE31" s="5"/>
      <c r="AG31" s="5"/>
    </row>
    <row r="32" ht="15.75" customHeight="1">
      <c r="A32" s="2" t="s">
        <v>53</v>
      </c>
      <c r="B32" s="3">
        <v>10.0</v>
      </c>
    </row>
    <row r="33" ht="15.75" customHeight="1">
      <c r="A33" s="2" t="s">
        <v>54</v>
      </c>
      <c r="B33" s="3">
        <v>150.0</v>
      </c>
    </row>
    <row r="34" ht="15.75" customHeight="1">
      <c r="A34" s="2" t="s">
        <v>55</v>
      </c>
      <c r="B34" s="3">
        <v>20.0</v>
      </c>
    </row>
    <row r="35" ht="15.75" customHeight="1">
      <c r="A35" s="4" t="s">
        <v>2</v>
      </c>
      <c r="B35" s="4">
        <v>1023.79</v>
      </c>
    </row>
    <row r="36" ht="15.75" customHeight="1"/>
    <row r="37" ht="15.75" customHeight="1"/>
    <row r="38" ht="15.75" customHeight="1"/>
    <row r="39" ht="15.75" customHeight="1"/>
    <row r="40" ht="15.75" customHeight="1">
      <c r="A40" s="1">
        <v>41456.0</v>
      </c>
    </row>
    <row r="41" ht="15.75" customHeight="1">
      <c r="A41" s="2" t="s">
        <v>0</v>
      </c>
      <c r="B41" s="3">
        <v>97.98</v>
      </c>
      <c r="C41" s="3">
        <v>59.8</v>
      </c>
      <c r="D41" s="3">
        <v>23.5</v>
      </c>
      <c r="E41" s="3">
        <v>14.25</v>
      </c>
      <c r="F41" s="3">
        <v>25.6</v>
      </c>
      <c r="G41" s="3">
        <v>11.64</v>
      </c>
      <c r="H41" s="3">
        <v>58.0</v>
      </c>
      <c r="I41" s="3">
        <v>4.99</v>
      </c>
      <c r="J41" s="3">
        <v>25.25</v>
      </c>
      <c r="K41" s="3">
        <v>32.0</v>
      </c>
      <c r="L41" s="3">
        <v>99.33</v>
      </c>
      <c r="M41" s="3">
        <v>30.25</v>
      </c>
      <c r="N41" s="3">
        <v>58.95</v>
      </c>
      <c r="O41" s="3">
        <v>13.0</v>
      </c>
      <c r="P41" s="3">
        <v>62.0</v>
      </c>
      <c r="Q41" s="3">
        <v>11.55</v>
      </c>
      <c r="R41" s="3">
        <v>19.0</v>
      </c>
      <c r="S41" s="3">
        <v>51.0</v>
      </c>
      <c r="T41" s="3">
        <v>40.0</v>
      </c>
      <c r="U41" s="3">
        <v>114.0</v>
      </c>
      <c r="V41" s="3">
        <v>32.78</v>
      </c>
      <c r="W41" s="3">
        <v>45.0</v>
      </c>
      <c r="X41" s="3">
        <v>39.65</v>
      </c>
    </row>
    <row r="42" ht="15.75" customHeight="1">
      <c r="A42" s="2" t="s">
        <v>54</v>
      </c>
      <c r="B42" s="3">
        <v>150.0</v>
      </c>
    </row>
    <row r="43" ht="15.75" customHeight="1">
      <c r="A43" s="4" t="s">
        <v>2</v>
      </c>
      <c r="B43" s="4">
        <v>1119.52</v>
      </c>
    </row>
    <row r="44" ht="15.75" customHeight="1">
      <c r="B44" s="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>
      <c r="A50" s="1">
        <v>41487.0</v>
      </c>
    </row>
    <row r="51" ht="15.75" customHeight="1">
      <c r="A51" s="2" t="s">
        <v>0</v>
      </c>
      <c r="B51" s="3">
        <v>97.98</v>
      </c>
      <c r="C51" s="3">
        <v>59.8</v>
      </c>
      <c r="D51" s="3">
        <v>39.65</v>
      </c>
      <c r="E51" s="3">
        <v>12.0</v>
      </c>
      <c r="F51" s="3">
        <v>24.55</v>
      </c>
      <c r="G51" s="3">
        <v>18.5</v>
      </c>
      <c r="H51" s="3">
        <v>11.07</v>
      </c>
      <c r="I51" s="3">
        <v>19.9</v>
      </c>
      <c r="J51" s="3">
        <v>74.0</v>
      </c>
      <c r="K51" s="3">
        <v>41.35</v>
      </c>
      <c r="L51" s="3">
        <v>23.4</v>
      </c>
      <c r="M51" s="3">
        <v>13.0</v>
      </c>
      <c r="N51" s="3">
        <v>33.3</v>
      </c>
      <c r="O51" s="3">
        <v>35.8</v>
      </c>
      <c r="P51" s="3">
        <v>11.0</v>
      </c>
      <c r="Q51" s="3">
        <v>29.89</v>
      </c>
      <c r="R51" s="3">
        <v>85.0</v>
      </c>
      <c r="S51" s="3">
        <v>44.17</v>
      </c>
      <c r="T51" s="3">
        <v>10.55</v>
      </c>
      <c r="U51" s="3">
        <v>10.18</v>
      </c>
      <c r="V51" s="3">
        <v>19.5</v>
      </c>
      <c r="W51" s="3">
        <v>96.01</v>
      </c>
      <c r="X51" s="3">
        <v>59.08</v>
      </c>
      <c r="Y51" s="3">
        <v>27.8</v>
      </c>
      <c r="Z51" s="3">
        <v>7.0</v>
      </c>
      <c r="AA51" s="3">
        <v>26.0</v>
      </c>
      <c r="AB51" s="3">
        <v>12.0</v>
      </c>
      <c r="AC51" s="3">
        <v>15.0</v>
      </c>
      <c r="AD51" s="3">
        <v>13.0</v>
      </c>
      <c r="AE51" s="3">
        <v>6.58</v>
      </c>
      <c r="AF51" s="3">
        <v>79.5</v>
      </c>
      <c r="AG51" s="3">
        <v>5.57</v>
      </c>
    </row>
    <row r="52" ht="15.75" customHeight="1">
      <c r="A52" s="2" t="s">
        <v>54</v>
      </c>
      <c r="B52" s="3">
        <v>150.0</v>
      </c>
    </row>
    <row r="53" ht="15.75" customHeight="1">
      <c r="A53" s="4" t="s">
        <v>2</v>
      </c>
      <c r="B53" s="4">
        <v>1212.13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A60" s="1">
        <v>41518.0</v>
      </c>
    </row>
    <row r="61" ht="15.75" customHeight="1">
      <c r="A61" s="2" t="s">
        <v>0</v>
      </c>
      <c r="B61" s="3">
        <v>97.98</v>
      </c>
      <c r="C61" s="3">
        <v>59.8</v>
      </c>
      <c r="D61" s="3">
        <v>20.06</v>
      </c>
      <c r="E61" s="3">
        <v>10.55</v>
      </c>
      <c r="F61" s="3">
        <v>17.9</v>
      </c>
      <c r="G61" s="3">
        <v>47.72</v>
      </c>
      <c r="H61" s="3">
        <v>11.32</v>
      </c>
      <c r="I61" s="3">
        <v>40.33</v>
      </c>
      <c r="J61" s="3">
        <v>99.67</v>
      </c>
      <c r="K61" s="3">
        <v>33.99</v>
      </c>
      <c r="L61" s="3">
        <v>46.0</v>
      </c>
      <c r="M61" s="3">
        <v>30.0</v>
      </c>
      <c r="N61" s="3">
        <v>41.5</v>
      </c>
      <c r="O61" s="3">
        <v>14.0</v>
      </c>
      <c r="P61" s="3">
        <v>13.0</v>
      </c>
      <c r="Q61" s="3">
        <v>10.0</v>
      </c>
      <c r="R61" s="3">
        <v>16.5</v>
      </c>
      <c r="S61" s="3">
        <v>30.0</v>
      </c>
      <c r="T61" s="3">
        <v>48.02</v>
      </c>
      <c r="U61" s="3">
        <v>29.5</v>
      </c>
      <c r="V61" s="3">
        <v>10.0</v>
      </c>
      <c r="W61" s="3">
        <v>17.11</v>
      </c>
      <c r="X61" s="3">
        <v>58.0</v>
      </c>
      <c r="Y61" s="3">
        <v>27.7</v>
      </c>
      <c r="Z61" s="3">
        <v>70.0</v>
      </c>
      <c r="AA61" s="3">
        <v>27.25</v>
      </c>
      <c r="AB61" s="3">
        <v>24.4</v>
      </c>
      <c r="AC61" s="3">
        <v>10.07</v>
      </c>
      <c r="AD61" s="3"/>
      <c r="AE61" s="3"/>
      <c r="AF61" s="3"/>
      <c r="AG61" s="3"/>
      <c r="AH61" s="3"/>
      <c r="AI61" s="3"/>
      <c r="AJ61" s="3"/>
      <c r="AK61" s="3"/>
      <c r="AM61" s="3"/>
    </row>
    <row r="62" ht="15.75" customHeight="1">
      <c r="A62" s="2" t="s">
        <v>54</v>
      </c>
      <c r="B62" s="3">
        <v>150.0</v>
      </c>
    </row>
    <row r="63" ht="15.75" customHeight="1">
      <c r="A63" s="4" t="s">
        <v>2</v>
      </c>
      <c r="B63" s="4">
        <v>1112.37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>
      <c r="A70" s="1">
        <v>41548.0</v>
      </c>
    </row>
    <row r="71" ht="15.75" customHeight="1">
      <c r="A71" s="2" t="s">
        <v>0</v>
      </c>
      <c r="B71" s="3">
        <v>97.98</v>
      </c>
      <c r="C71" s="3">
        <v>59.8</v>
      </c>
      <c r="D71" s="3">
        <v>20.06</v>
      </c>
      <c r="E71" s="3">
        <v>10.55</v>
      </c>
      <c r="F71" s="3">
        <v>11.32</v>
      </c>
      <c r="G71" s="3">
        <v>10.07</v>
      </c>
      <c r="H71" s="3">
        <v>40.33</v>
      </c>
      <c r="I71" s="3">
        <v>45.69</v>
      </c>
      <c r="J71" s="3">
        <v>16.7</v>
      </c>
      <c r="K71" s="3">
        <v>13.75</v>
      </c>
      <c r="L71" s="3">
        <v>64.66</v>
      </c>
      <c r="M71" s="3">
        <v>71.91</v>
      </c>
      <c r="N71" s="3">
        <v>11.34</v>
      </c>
      <c r="O71" s="3">
        <v>37.5</v>
      </c>
      <c r="P71" s="3">
        <v>40.5</v>
      </c>
      <c r="Q71" s="3">
        <v>20.42</v>
      </c>
      <c r="R71" s="3">
        <v>15.4</v>
      </c>
      <c r="S71" s="3">
        <v>41.0</v>
      </c>
      <c r="T71" s="3">
        <v>45.64</v>
      </c>
      <c r="U71" s="3">
        <v>34.02</v>
      </c>
      <c r="V71" s="3">
        <v>22.0</v>
      </c>
      <c r="W71" s="3">
        <v>25.95</v>
      </c>
      <c r="X71" s="3">
        <v>60.0</v>
      </c>
      <c r="Y71" s="3">
        <v>34.43</v>
      </c>
      <c r="Z71" s="3">
        <v>16.0</v>
      </c>
      <c r="AA71" s="3">
        <v>57.4</v>
      </c>
      <c r="AB71" s="3">
        <v>37.0</v>
      </c>
      <c r="AC71" s="3">
        <v>60.0</v>
      </c>
      <c r="AD71" s="3">
        <v>24.0</v>
      </c>
      <c r="AE71" s="3">
        <v>52.0</v>
      </c>
      <c r="AF71" s="3">
        <v>22.75</v>
      </c>
      <c r="AG71" s="3">
        <v>12.0</v>
      </c>
      <c r="AH71" s="3">
        <v>40.45</v>
      </c>
    </row>
    <row r="72" ht="15.75" customHeight="1">
      <c r="A72" s="2" t="s">
        <v>54</v>
      </c>
      <c r="B72" s="3">
        <v>150.0</v>
      </c>
      <c r="C72" s="3">
        <v>25.0</v>
      </c>
    </row>
    <row r="73" ht="15.75" customHeight="1">
      <c r="A73" s="4" t="s">
        <v>2</v>
      </c>
      <c r="B73" s="4">
        <v>1347.62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A80" s="1">
        <v>41579.0</v>
      </c>
    </row>
    <row r="81" ht="15.75" customHeight="1">
      <c r="A81" s="2" t="s">
        <v>0</v>
      </c>
      <c r="B81" s="3">
        <v>97.98</v>
      </c>
      <c r="C81" s="3">
        <v>59.8</v>
      </c>
      <c r="D81" s="3">
        <v>20.06</v>
      </c>
      <c r="E81" s="3">
        <v>10.55</v>
      </c>
      <c r="F81" s="3">
        <v>11.32</v>
      </c>
      <c r="G81" s="3">
        <v>10.07</v>
      </c>
      <c r="H81" s="3">
        <v>40.33</v>
      </c>
      <c r="I81" s="3">
        <v>11.34</v>
      </c>
      <c r="J81" s="3">
        <v>141.35</v>
      </c>
      <c r="K81" s="3">
        <v>20.9</v>
      </c>
      <c r="L81" s="3">
        <v>85.95</v>
      </c>
      <c r="M81" s="3">
        <v>39.64</v>
      </c>
      <c r="N81" s="3">
        <v>24.65</v>
      </c>
      <c r="O81" s="3">
        <v>11.8</v>
      </c>
      <c r="P81" s="3">
        <v>14.95</v>
      </c>
      <c r="Q81" s="3">
        <v>43.4</v>
      </c>
      <c r="R81" s="3">
        <v>21.0</v>
      </c>
      <c r="S81" s="3">
        <v>14.67</v>
      </c>
      <c r="T81" s="3">
        <v>27.48</v>
      </c>
      <c r="U81" s="3">
        <v>49.0</v>
      </c>
      <c r="V81" s="3">
        <v>59.21</v>
      </c>
      <c r="W81" s="3">
        <v>5.5</v>
      </c>
      <c r="X81" s="3">
        <v>30.0</v>
      </c>
      <c r="Y81" s="3">
        <v>29.99</v>
      </c>
      <c r="Z81" s="3">
        <v>16.25</v>
      </c>
      <c r="AA81" s="3">
        <v>99.33</v>
      </c>
      <c r="AB81" s="3">
        <v>16.73</v>
      </c>
      <c r="AC81" s="3">
        <v>54.0</v>
      </c>
      <c r="AD81" s="3">
        <v>226.7</v>
      </c>
      <c r="AF81" s="5"/>
    </row>
    <row r="82" ht="15.75" customHeight="1">
      <c r="A82" s="2" t="s">
        <v>54</v>
      </c>
      <c r="B82" s="3">
        <v>200.0</v>
      </c>
    </row>
    <row r="83" ht="15.75" customHeight="1">
      <c r="A83" s="4" t="s">
        <v>2</v>
      </c>
      <c r="B83" s="4">
        <v>1493.95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>
      <c r="A90" s="1">
        <v>41609.0</v>
      </c>
    </row>
    <row r="91" ht="15.75" customHeight="1">
      <c r="A91" s="2" t="s">
        <v>0</v>
      </c>
      <c r="B91" s="3">
        <v>226.7</v>
      </c>
      <c r="C91" s="3">
        <v>59.8</v>
      </c>
      <c r="D91" s="3">
        <v>20.06</v>
      </c>
      <c r="E91" s="3">
        <v>10.55</v>
      </c>
      <c r="F91" s="3">
        <v>11.32</v>
      </c>
      <c r="G91" s="3">
        <v>10.07</v>
      </c>
      <c r="H91" s="3">
        <v>11.34</v>
      </c>
      <c r="I91" s="3">
        <v>59.18</v>
      </c>
      <c r="J91" s="3">
        <v>16.89</v>
      </c>
      <c r="K91" s="3">
        <v>50.16</v>
      </c>
      <c r="L91" s="3">
        <v>66.4</v>
      </c>
      <c r="M91" s="3">
        <v>72.0</v>
      </c>
      <c r="N91" s="3">
        <v>55.52</v>
      </c>
      <c r="O91" s="3">
        <v>14.0</v>
      </c>
      <c r="P91" s="3">
        <v>21.08</v>
      </c>
      <c r="Q91" s="3">
        <v>7.1</v>
      </c>
      <c r="R91" s="3">
        <v>19.9</v>
      </c>
      <c r="S91" s="3">
        <v>27.0</v>
      </c>
      <c r="T91" s="3">
        <v>49.8</v>
      </c>
      <c r="U91" s="3">
        <v>154.3</v>
      </c>
      <c r="V91" s="3">
        <v>81.0</v>
      </c>
      <c r="W91" s="3">
        <v>122.76</v>
      </c>
      <c r="X91" s="3">
        <v>21.0</v>
      </c>
      <c r="Y91" s="3">
        <v>42.55</v>
      </c>
      <c r="Z91" s="3">
        <v>5.9</v>
      </c>
      <c r="AA91" s="3">
        <v>58.2</v>
      </c>
      <c r="AB91" s="3">
        <v>108.76</v>
      </c>
      <c r="AC91" s="3">
        <v>18.51</v>
      </c>
      <c r="AD91" s="3">
        <v>19.46</v>
      </c>
      <c r="AE91" s="3">
        <v>45.36</v>
      </c>
    </row>
    <row r="92" ht="15.75" customHeight="1">
      <c r="A92" s="2" t="s">
        <v>54</v>
      </c>
      <c r="B92" s="3">
        <v>200.0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4" t="s">
        <v>2</v>
      </c>
      <c r="B93" s="4">
        <v>1686.67</v>
      </c>
    </row>
    <row r="94" ht="15.75" customHeight="1">
      <c r="B94" s="4"/>
    </row>
    <row r="95" ht="15.75" customHeight="1">
      <c r="B95" s="4"/>
    </row>
    <row r="96" ht="15.75" customHeight="1"/>
    <row r="97" ht="15.75" customHeight="1"/>
    <row r="98" ht="15.75" customHeight="1"/>
    <row r="99" ht="15.75" customHeight="1">
      <c r="A99" s="1">
        <v>41640.0</v>
      </c>
    </row>
    <row r="100" ht="15.75" customHeight="1">
      <c r="A100" s="2" t="s">
        <v>0</v>
      </c>
      <c r="B100" s="3">
        <v>59.8</v>
      </c>
      <c r="C100" s="3">
        <v>10.07</v>
      </c>
      <c r="D100" s="3">
        <v>20.06</v>
      </c>
      <c r="E100" s="3">
        <v>11.32</v>
      </c>
      <c r="F100" s="3">
        <v>11.34</v>
      </c>
      <c r="G100" s="3">
        <v>59.21</v>
      </c>
      <c r="H100" s="3">
        <v>226.7</v>
      </c>
      <c r="I100" s="3">
        <v>12.5</v>
      </c>
      <c r="J100" s="3">
        <v>54.99</v>
      </c>
      <c r="K100" s="3">
        <v>8.9</v>
      </c>
      <c r="L100" s="3">
        <v>34.0</v>
      </c>
      <c r="M100" s="3">
        <v>110.0</v>
      </c>
      <c r="N100" s="3">
        <v>61.2</v>
      </c>
      <c r="O100" s="3">
        <v>35.9</v>
      </c>
      <c r="P100" s="3">
        <v>36.0</v>
      </c>
      <c r="Q100" s="3">
        <v>35.5</v>
      </c>
      <c r="R100" s="3">
        <v>51.35</v>
      </c>
      <c r="S100" s="3">
        <v>20.0</v>
      </c>
      <c r="T100" s="3">
        <v>10.0</v>
      </c>
      <c r="U100" s="2">
        <v>54.07</v>
      </c>
      <c r="V100" s="3">
        <v>11.75</v>
      </c>
      <c r="W100" s="3">
        <v>20.5</v>
      </c>
      <c r="X100" s="3">
        <v>9.25</v>
      </c>
      <c r="Z100" s="3">
        <v>964.41</v>
      </c>
    </row>
    <row r="101" ht="15.75" customHeight="1">
      <c r="A101" s="2" t="s">
        <v>54</v>
      </c>
      <c r="B101" s="2">
        <v>200.0</v>
      </c>
    </row>
    <row r="102" ht="15.75" customHeight="1">
      <c r="A102" s="4" t="s">
        <v>1</v>
      </c>
      <c r="B102" s="4">
        <v>1164.41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>
      <c r="A109" s="1">
        <v>41671.0</v>
      </c>
    </row>
    <row r="110" ht="15.75" customHeight="1">
      <c r="A110" s="2" t="s">
        <v>0</v>
      </c>
      <c r="B110" s="3">
        <v>82.57</v>
      </c>
      <c r="C110" s="3">
        <v>60.0</v>
      </c>
      <c r="D110" s="3">
        <v>20.06</v>
      </c>
      <c r="E110" s="3">
        <v>11.38</v>
      </c>
      <c r="F110" s="3">
        <v>59.21</v>
      </c>
      <c r="G110" s="3">
        <v>226.7</v>
      </c>
      <c r="H110" s="3">
        <v>54.99</v>
      </c>
      <c r="I110" s="3">
        <v>100.22</v>
      </c>
      <c r="J110" s="3">
        <v>35.7</v>
      </c>
      <c r="K110" s="3">
        <v>55.0</v>
      </c>
      <c r="L110" s="3">
        <v>9.28</v>
      </c>
      <c r="M110" s="3">
        <v>9.15</v>
      </c>
      <c r="N110" s="3">
        <v>86.49</v>
      </c>
      <c r="O110" s="3">
        <v>63.0</v>
      </c>
      <c r="P110" s="3">
        <v>12.5</v>
      </c>
      <c r="Q110" s="3">
        <v>34.75</v>
      </c>
      <c r="R110" s="3">
        <v>13.0</v>
      </c>
      <c r="S110" s="3">
        <v>17.0</v>
      </c>
      <c r="T110" s="3">
        <v>18.9</v>
      </c>
      <c r="U110" s="3">
        <v>8.5</v>
      </c>
      <c r="V110" s="3">
        <v>24.9</v>
      </c>
      <c r="W110" s="3">
        <v>21.0</v>
      </c>
      <c r="X110" s="3">
        <v>73.43</v>
      </c>
      <c r="Y110" s="3"/>
      <c r="Z110" s="3">
        <v>1097.63</v>
      </c>
    </row>
    <row r="111" ht="15.75" customHeight="1">
      <c r="A111" s="2" t="s">
        <v>54</v>
      </c>
      <c r="B111" s="3">
        <v>200.0</v>
      </c>
    </row>
    <row r="112" ht="15.75" customHeight="1">
      <c r="A112" s="4" t="s">
        <v>2</v>
      </c>
      <c r="B112" s="4">
        <v>1297.73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>
      <c r="A118" s="1">
        <v>41699.0</v>
      </c>
    </row>
    <row r="119" ht="15.75" customHeight="1">
      <c r="A119" s="2" t="s">
        <v>0</v>
      </c>
      <c r="B119" s="3">
        <v>20.06</v>
      </c>
      <c r="C119" s="3">
        <v>59.21</v>
      </c>
      <c r="D119" s="3">
        <v>226.7</v>
      </c>
      <c r="E119" s="3">
        <v>54.99</v>
      </c>
      <c r="F119" s="3">
        <v>55.0</v>
      </c>
      <c r="G119" s="3">
        <v>69.5</v>
      </c>
      <c r="H119" s="3">
        <v>46.06</v>
      </c>
      <c r="I119" s="3">
        <v>85.27</v>
      </c>
      <c r="J119" s="3">
        <v>58.57</v>
      </c>
      <c r="K119" s="3">
        <v>50.0</v>
      </c>
      <c r="L119" s="3">
        <v>11.75</v>
      </c>
      <c r="M119" s="3">
        <v>41.18</v>
      </c>
      <c r="N119" s="3">
        <v>11.84</v>
      </c>
      <c r="O119" s="3">
        <v>26.4</v>
      </c>
      <c r="P119" s="3">
        <v>22.85</v>
      </c>
      <c r="Q119" s="3">
        <v>35.67</v>
      </c>
      <c r="R119" s="3">
        <v>30.5</v>
      </c>
      <c r="S119" s="3">
        <v>40.0</v>
      </c>
      <c r="T119" s="3">
        <v>26.25</v>
      </c>
      <c r="U119" s="3">
        <v>11.67</v>
      </c>
      <c r="V119" s="3">
        <v>24.93</v>
      </c>
      <c r="W119" s="3">
        <v>37.2</v>
      </c>
      <c r="X119" s="3">
        <v>12.75</v>
      </c>
      <c r="Y119" s="3">
        <v>29.5</v>
      </c>
    </row>
    <row r="120" ht="15.75" customHeight="1">
      <c r="A120" s="2" t="s">
        <v>54</v>
      </c>
      <c r="B120" s="3">
        <v>200.0</v>
      </c>
    </row>
    <row r="121" ht="15.75" customHeight="1">
      <c r="A121" s="4" t="s">
        <v>2</v>
      </c>
      <c r="B121" s="4">
        <v>1287.85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>
      <c r="A127" s="1">
        <v>41730.0</v>
      </c>
    </row>
    <row r="128" ht="15.75" customHeight="1">
      <c r="A128" s="2" t="s">
        <v>0</v>
      </c>
      <c r="B128" s="3">
        <v>41.85</v>
      </c>
      <c r="C128" s="3">
        <v>199.8</v>
      </c>
      <c r="D128" s="3">
        <v>26.9</v>
      </c>
      <c r="E128" s="3">
        <v>85.27</v>
      </c>
      <c r="F128" s="3">
        <v>54.99</v>
      </c>
      <c r="G128" s="3">
        <v>50.19</v>
      </c>
      <c r="H128" s="3">
        <v>63.13</v>
      </c>
      <c r="I128" s="3">
        <v>68.2</v>
      </c>
      <c r="J128" s="3">
        <v>20.5</v>
      </c>
      <c r="K128" s="3">
        <v>12.5</v>
      </c>
      <c r="L128" s="3">
        <v>68.42</v>
      </c>
      <c r="M128" s="3">
        <v>32.07</v>
      </c>
      <c r="N128" s="3">
        <v>19.8</v>
      </c>
      <c r="O128" s="3">
        <v>53.65</v>
      </c>
      <c r="P128" s="3">
        <v>18.0</v>
      </c>
      <c r="Q128" s="3">
        <v>44.28</v>
      </c>
      <c r="R128" s="3">
        <v>29.78</v>
      </c>
      <c r="S128" s="3">
        <v>207.0</v>
      </c>
      <c r="T128" s="3">
        <v>25.5</v>
      </c>
      <c r="U128" s="3">
        <v>3.9</v>
      </c>
      <c r="V128" s="3">
        <v>42.0</v>
      </c>
      <c r="W128" s="3">
        <v>18.25</v>
      </c>
      <c r="X128" s="3">
        <v>24.0</v>
      </c>
      <c r="Y128" s="3">
        <v>22.5</v>
      </c>
      <c r="Z128" s="3">
        <v>35.25</v>
      </c>
      <c r="AA128" s="3">
        <v>24.5</v>
      </c>
      <c r="AB128" s="3">
        <v>46.9</v>
      </c>
      <c r="AC128" s="3">
        <v>40.5</v>
      </c>
      <c r="AD128" s="3">
        <v>43.24</v>
      </c>
      <c r="AE128" s="3">
        <v>11.05</v>
      </c>
      <c r="AF128" s="3">
        <v>27.24</v>
      </c>
      <c r="AG128" s="3">
        <v>24.0</v>
      </c>
      <c r="AH128" s="3">
        <v>6.0</v>
      </c>
      <c r="AI128" s="3">
        <v>29.97</v>
      </c>
      <c r="AJ128" s="3">
        <v>12.0</v>
      </c>
      <c r="AK128" s="3">
        <v>121.55</v>
      </c>
      <c r="AL128" s="3"/>
    </row>
    <row r="129" ht="15.75" customHeight="1">
      <c r="A129" s="2" t="s">
        <v>54</v>
      </c>
      <c r="B129" s="3">
        <v>200.0</v>
      </c>
    </row>
    <row r="130" ht="15.75" customHeight="1">
      <c r="A130" s="4" t="s">
        <v>2</v>
      </c>
      <c r="B130" s="4">
        <v>1854.68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>
      <c r="A136" s="1">
        <v>41760.0</v>
      </c>
    </row>
    <row r="137" ht="15.75" customHeight="1">
      <c r="A137" s="2" t="s">
        <v>0</v>
      </c>
      <c r="B137" s="3">
        <v>226.7</v>
      </c>
      <c r="C137" s="3">
        <v>54.99</v>
      </c>
      <c r="D137" s="3">
        <v>85.27</v>
      </c>
      <c r="E137" s="3">
        <v>12.0</v>
      </c>
      <c r="F137" s="3">
        <v>27.0</v>
      </c>
      <c r="G137" s="3">
        <v>23.0</v>
      </c>
      <c r="H137" s="3">
        <v>17.9</v>
      </c>
      <c r="I137" s="3">
        <v>50.36</v>
      </c>
      <c r="J137" s="3">
        <v>14.1</v>
      </c>
      <c r="K137" s="3">
        <v>32.5</v>
      </c>
      <c r="L137" s="3">
        <v>12.9</v>
      </c>
      <c r="M137" s="3">
        <v>60.5</v>
      </c>
      <c r="N137" s="3">
        <v>30.0</v>
      </c>
      <c r="O137" s="3">
        <v>35.8</v>
      </c>
      <c r="P137" s="3">
        <v>45.1</v>
      </c>
      <c r="Q137" s="3">
        <v>73.0</v>
      </c>
      <c r="R137" s="3">
        <v>13.0</v>
      </c>
      <c r="S137" s="3">
        <v>8.0</v>
      </c>
      <c r="T137" s="3">
        <v>34.97</v>
      </c>
      <c r="U137" s="3">
        <v>76.14</v>
      </c>
      <c r="V137" s="3">
        <v>65.71</v>
      </c>
      <c r="W137" s="3">
        <v>26.46</v>
      </c>
      <c r="X137" s="3">
        <v>36.51</v>
      </c>
      <c r="Z137" s="3">
        <v>1061.91</v>
      </c>
    </row>
    <row r="138" ht="15.75" customHeight="1">
      <c r="A138" s="2" t="s">
        <v>54</v>
      </c>
      <c r="B138" s="3">
        <v>200.0</v>
      </c>
    </row>
    <row r="139" ht="15.75" customHeight="1">
      <c r="A139" s="4" t="s">
        <v>2</v>
      </c>
      <c r="B139" s="4">
        <v>1261.91</v>
      </c>
    </row>
    <row r="140" ht="15.75" customHeight="1">
      <c r="A140" s="4"/>
      <c r="B140" s="4"/>
    </row>
    <row r="141" ht="15.75" customHeight="1"/>
    <row r="142" ht="15.75" customHeight="1"/>
    <row r="143" ht="15.75" customHeight="1"/>
    <row r="144" ht="15.75" customHeight="1"/>
    <row r="145" ht="15.75" customHeight="1">
      <c r="A145" s="1">
        <v>41791.0</v>
      </c>
    </row>
    <row r="146" ht="15.75" customHeight="1">
      <c r="A146" s="2" t="s">
        <v>0</v>
      </c>
      <c r="B146" s="3">
        <v>226.7</v>
      </c>
      <c r="C146" s="3">
        <v>54.99</v>
      </c>
      <c r="D146" s="3">
        <v>85.27</v>
      </c>
      <c r="E146" s="3">
        <v>76.14</v>
      </c>
      <c r="F146" s="3">
        <v>18.5</v>
      </c>
      <c r="G146" s="3">
        <v>32.0</v>
      </c>
      <c r="H146" s="3">
        <v>59.0</v>
      </c>
      <c r="I146" s="3">
        <v>23.0</v>
      </c>
      <c r="J146" s="3">
        <v>5.0</v>
      </c>
      <c r="K146" s="3">
        <v>17.8</v>
      </c>
      <c r="L146" s="3">
        <v>16.5</v>
      </c>
      <c r="M146" s="3">
        <v>104.39</v>
      </c>
      <c r="N146" s="3">
        <v>32.0</v>
      </c>
      <c r="O146" s="3">
        <v>80.5</v>
      </c>
      <c r="P146" s="3">
        <v>28.46</v>
      </c>
      <c r="Q146" s="3">
        <v>74.0</v>
      </c>
      <c r="R146" s="3">
        <v>34.53</v>
      </c>
      <c r="S146" s="3">
        <v>30.5</v>
      </c>
      <c r="T146" s="3">
        <v>55.0</v>
      </c>
      <c r="U146" s="3">
        <v>26.19</v>
      </c>
      <c r="V146" s="3">
        <v>25.5</v>
      </c>
      <c r="W146" s="3">
        <v>25.75</v>
      </c>
      <c r="X146" s="3">
        <v>26.0</v>
      </c>
      <c r="Y146" s="3">
        <v>10.3</v>
      </c>
      <c r="Z146" s="3">
        <v>29.0</v>
      </c>
      <c r="AB146" s="2">
        <v>1197.02</v>
      </c>
    </row>
    <row r="147" ht="15.75" customHeight="1">
      <c r="A147" s="2" t="s">
        <v>54</v>
      </c>
      <c r="B147" s="3">
        <v>200.0</v>
      </c>
    </row>
    <row r="148" ht="15.75" customHeight="1">
      <c r="A148" s="2" t="s">
        <v>56</v>
      </c>
      <c r="B148" s="2">
        <v>35.0</v>
      </c>
    </row>
    <row r="149" ht="15.75" customHeight="1">
      <c r="A149" s="4" t="s">
        <v>2</v>
      </c>
      <c r="B149" s="4">
        <v>1432.02</v>
      </c>
    </row>
    <row r="150" ht="15.75" customHeight="1"/>
    <row r="151" ht="15.75" customHeight="1"/>
    <row r="152" ht="15.75" customHeight="1"/>
    <row r="153" ht="15.75" customHeight="1"/>
    <row r="154" ht="15.75" customHeight="1">
      <c r="A154" s="1">
        <v>41821.0</v>
      </c>
    </row>
    <row r="155" ht="15.75" customHeight="1">
      <c r="A155" s="2" t="s">
        <v>0</v>
      </c>
      <c r="B155" s="3">
        <v>226.7</v>
      </c>
      <c r="C155" s="3">
        <v>54.99</v>
      </c>
      <c r="D155" s="3">
        <v>85.27</v>
      </c>
      <c r="E155" s="3">
        <v>76.14</v>
      </c>
      <c r="F155" s="3">
        <v>157.64</v>
      </c>
      <c r="G155" s="3">
        <v>34.17</v>
      </c>
      <c r="H155" s="3">
        <v>36.5</v>
      </c>
      <c r="I155" s="3">
        <v>22.0</v>
      </c>
      <c r="J155" s="3">
        <v>60.0</v>
      </c>
      <c r="K155" s="3">
        <v>50.0</v>
      </c>
      <c r="L155" s="3">
        <v>29.25</v>
      </c>
      <c r="M155" s="3">
        <v>28.0</v>
      </c>
      <c r="N155" s="3">
        <v>35.25</v>
      </c>
      <c r="O155" s="3">
        <v>71.6</v>
      </c>
      <c r="P155" s="3">
        <v>40.5</v>
      </c>
      <c r="Q155" s="3">
        <v>91.0</v>
      </c>
      <c r="R155" s="3">
        <v>38.82</v>
      </c>
      <c r="S155" s="3">
        <v>42.4</v>
      </c>
      <c r="T155" s="3">
        <v>44.0</v>
      </c>
      <c r="U155" s="3">
        <v>66.01</v>
      </c>
      <c r="V155" s="3">
        <v>49.5</v>
      </c>
      <c r="W155" s="3">
        <v>23.25</v>
      </c>
      <c r="X155" s="3">
        <v>69.03</v>
      </c>
      <c r="Y155" s="3">
        <v>12.66</v>
      </c>
      <c r="Z155" s="3">
        <v>27.0</v>
      </c>
      <c r="AA155" s="3"/>
      <c r="AB155" s="2">
        <v>1471.68</v>
      </c>
    </row>
    <row r="156" ht="15.75" customHeight="1">
      <c r="A156" s="2" t="s">
        <v>54</v>
      </c>
      <c r="B156" s="3">
        <v>200.0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2" t="s">
        <v>56</v>
      </c>
      <c r="B157" s="3">
        <v>35.0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2</v>
      </c>
      <c r="B158" s="4">
        <v>1706.68</v>
      </c>
    </row>
    <row r="159" ht="15.75" customHeight="1"/>
    <row r="160" ht="15.75" customHeight="1"/>
    <row r="161" ht="15.75" customHeight="1"/>
    <row r="162" ht="15.75" customHeight="1"/>
    <row r="163" ht="15.75" customHeight="1">
      <c r="A163" s="1">
        <v>41852.0</v>
      </c>
    </row>
    <row r="164" ht="15.75" customHeight="1">
      <c r="A164" s="2" t="s">
        <v>0</v>
      </c>
      <c r="B164" s="3">
        <v>226.7</v>
      </c>
      <c r="C164" s="3">
        <v>54.99</v>
      </c>
      <c r="D164" s="3">
        <v>85.27</v>
      </c>
      <c r="E164" s="3">
        <v>76.14</v>
      </c>
      <c r="F164" s="3">
        <v>27.0</v>
      </c>
      <c r="G164" s="3">
        <v>20.2</v>
      </c>
      <c r="H164" s="3">
        <v>16.0</v>
      </c>
      <c r="I164" s="3">
        <v>39.7</v>
      </c>
      <c r="J164" s="3">
        <v>31.57</v>
      </c>
      <c r="K164" s="3">
        <v>20.9</v>
      </c>
      <c r="L164" s="3">
        <v>41.0</v>
      </c>
      <c r="M164" s="3">
        <v>29.9</v>
      </c>
      <c r="N164" s="3">
        <v>60.5</v>
      </c>
      <c r="O164" s="3">
        <v>41.07</v>
      </c>
      <c r="P164" s="3">
        <v>35.06</v>
      </c>
      <c r="Q164" s="3">
        <v>33.17</v>
      </c>
      <c r="R164" s="3">
        <v>31.35</v>
      </c>
      <c r="S164" s="3">
        <v>38.0</v>
      </c>
      <c r="T164" s="3">
        <v>15.26</v>
      </c>
      <c r="U164" s="3">
        <v>51.6</v>
      </c>
      <c r="V164" s="3">
        <v>8.5</v>
      </c>
      <c r="W164" s="3">
        <v>60.65</v>
      </c>
      <c r="X164" s="3">
        <v>39.5</v>
      </c>
      <c r="Y164" s="3">
        <v>28.0</v>
      </c>
      <c r="Z164" s="3">
        <v>32.6</v>
      </c>
      <c r="AA164" s="3">
        <v>35.97</v>
      </c>
      <c r="AB164" s="3">
        <v>32.95</v>
      </c>
      <c r="AC164" s="3">
        <v>10.5</v>
      </c>
      <c r="AD164" s="3">
        <v>39.5</v>
      </c>
      <c r="AE164" s="3">
        <v>19.55</v>
      </c>
      <c r="AF164" s="3">
        <v>12.0</v>
      </c>
      <c r="AG164" s="3">
        <v>20.0</v>
      </c>
      <c r="AH164" s="3">
        <v>11.73</v>
      </c>
      <c r="AI164" s="3">
        <v>205.35</v>
      </c>
      <c r="AJ164" s="3"/>
      <c r="AK164" s="2">
        <v>1532.18</v>
      </c>
    </row>
    <row r="165" ht="15.75" customHeight="1">
      <c r="A165" s="2" t="s">
        <v>54</v>
      </c>
      <c r="B165" s="3">
        <v>200.0</v>
      </c>
    </row>
    <row r="166" ht="15.75" customHeight="1">
      <c r="A166" s="2" t="s">
        <v>57</v>
      </c>
      <c r="B166" s="3">
        <v>14.7</v>
      </c>
    </row>
    <row r="167" ht="15.75" customHeight="1">
      <c r="A167" s="4" t="s">
        <v>2</v>
      </c>
      <c r="B167" s="4">
        <v>1746.88</v>
      </c>
    </row>
    <row r="168" ht="15.75" customHeight="1"/>
    <row r="169" ht="15.75" customHeight="1"/>
    <row r="170" ht="15.75" customHeight="1"/>
    <row r="171" ht="15.75" customHeight="1"/>
    <row r="172" ht="15.75" customHeight="1">
      <c r="A172" s="1">
        <v>41883.0</v>
      </c>
    </row>
    <row r="173" ht="15.75" customHeight="1">
      <c r="A173" s="2" t="s">
        <v>0</v>
      </c>
      <c r="B173" s="3">
        <v>54.99</v>
      </c>
      <c r="C173" s="3">
        <v>85.27</v>
      </c>
      <c r="D173" s="3">
        <v>76.14</v>
      </c>
      <c r="E173" s="3">
        <v>44.43</v>
      </c>
      <c r="F173" s="3">
        <v>75.0</v>
      </c>
      <c r="G173" s="3">
        <v>45.0</v>
      </c>
      <c r="H173" s="3">
        <v>38.0</v>
      </c>
      <c r="I173" s="3">
        <v>89.21</v>
      </c>
      <c r="J173" s="3">
        <v>23.0</v>
      </c>
      <c r="K173" s="3">
        <v>47.0</v>
      </c>
      <c r="L173" s="3">
        <v>14.4</v>
      </c>
      <c r="M173" s="3">
        <v>31.01</v>
      </c>
      <c r="N173" s="3">
        <v>69.0</v>
      </c>
      <c r="O173" s="3">
        <v>45.0</v>
      </c>
      <c r="P173" s="3">
        <v>45.18</v>
      </c>
      <c r="Q173" s="3">
        <v>46.4</v>
      </c>
      <c r="R173" s="3">
        <v>121.0</v>
      </c>
      <c r="S173" s="3">
        <v>23.0</v>
      </c>
      <c r="T173" s="3">
        <v>25.0</v>
      </c>
      <c r="U173" s="3">
        <v>25.32</v>
      </c>
      <c r="V173" s="3">
        <v>8.0</v>
      </c>
      <c r="W173" s="3">
        <v>35.12</v>
      </c>
      <c r="X173" s="3">
        <v>45.0</v>
      </c>
      <c r="Y173" s="3">
        <v>33.5</v>
      </c>
      <c r="Z173" s="3">
        <v>8.9</v>
      </c>
      <c r="AA173" s="3">
        <v>16.4</v>
      </c>
      <c r="AB173" s="3">
        <v>30.15</v>
      </c>
      <c r="AC173" s="3">
        <v>28.0</v>
      </c>
      <c r="AD173" s="3">
        <v>34.8</v>
      </c>
      <c r="AE173" s="3">
        <v>53.0</v>
      </c>
      <c r="AF173" s="3">
        <v>9.69</v>
      </c>
      <c r="AG173" s="3"/>
      <c r="AH173" s="2">
        <v>1325.91</v>
      </c>
    </row>
    <row r="174" ht="15.75" customHeight="1">
      <c r="A174" s="2" t="s">
        <v>54</v>
      </c>
      <c r="B174" s="3">
        <v>200.0</v>
      </c>
    </row>
    <row r="175" ht="15.75" customHeight="1">
      <c r="A175" s="2" t="s">
        <v>58</v>
      </c>
      <c r="B175" s="3">
        <v>50.0</v>
      </c>
    </row>
    <row r="176" ht="15.75" customHeight="1">
      <c r="A176" s="2" t="s">
        <v>57</v>
      </c>
      <c r="B176" s="3">
        <v>14.7</v>
      </c>
    </row>
    <row r="177" ht="15.75" customHeight="1">
      <c r="A177" s="2" t="s">
        <v>59</v>
      </c>
      <c r="B177" s="3">
        <v>57.9</v>
      </c>
    </row>
    <row r="178" ht="15.75" customHeight="1">
      <c r="A178" s="4" t="s">
        <v>60</v>
      </c>
      <c r="B178" s="4">
        <v>1648.51</v>
      </c>
    </row>
    <row r="179" ht="15.75" customHeight="1"/>
    <row r="180" ht="15.75" customHeight="1"/>
    <row r="181" ht="15.75" customHeight="1">
      <c r="A181" s="1">
        <v>41913.0</v>
      </c>
    </row>
    <row r="182" ht="15.75" customHeight="1">
      <c r="A182" s="2" t="s">
        <v>0</v>
      </c>
      <c r="B182" s="3">
        <v>54.99</v>
      </c>
      <c r="C182" s="3">
        <v>85.27</v>
      </c>
      <c r="D182" s="3">
        <v>76.14</v>
      </c>
      <c r="E182" s="3">
        <v>8.01</v>
      </c>
      <c r="F182" s="3">
        <v>54.77</v>
      </c>
      <c r="G182" s="3">
        <v>26.0</v>
      </c>
      <c r="H182" s="3">
        <v>100.0</v>
      </c>
      <c r="I182" s="3">
        <v>20.0</v>
      </c>
      <c r="J182" s="3">
        <v>89.1</v>
      </c>
      <c r="K182" s="3">
        <v>159.0</v>
      </c>
      <c r="L182" s="3">
        <v>14.0</v>
      </c>
      <c r="M182" s="3">
        <v>42.36</v>
      </c>
      <c r="N182" s="3">
        <v>57.0</v>
      </c>
      <c r="O182" s="3">
        <v>73.0</v>
      </c>
      <c r="P182" s="3">
        <v>15.0</v>
      </c>
      <c r="Q182" s="3">
        <v>59.9</v>
      </c>
      <c r="R182" s="3">
        <v>15.13</v>
      </c>
      <c r="S182" s="3">
        <v>14.0</v>
      </c>
      <c r="T182" s="3">
        <v>5.84</v>
      </c>
      <c r="U182" s="3">
        <v>17.88</v>
      </c>
      <c r="V182" s="3">
        <v>31.45</v>
      </c>
      <c r="W182" s="3">
        <v>110.7</v>
      </c>
      <c r="X182" s="3">
        <v>34.0</v>
      </c>
      <c r="Y182" s="3">
        <v>98.47</v>
      </c>
      <c r="Z182" s="3">
        <v>7.5</v>
      </c>
      <c r="AA182" s="3">
        <v>16.0</v>
      </c>
      <c r="AB182" s="3">
        <v>32.0</v>
      </c>
      <c r="AC182" s="3">
        <v>50.0</v>
      </c>
      <c r="AD182" s="3">
        <v>18.0</v>
      </c>
      <c r="AE182" s="3">
        <v>19.97</v>
      </c>
      <c r="AF182" s="3">
        <v>38.38</v>
      </c>
      <c r="AG182" s="3">
        <v>34.5</v>
      </c>
      <c r="AH182" s="3">
        <v>16.0</v>
      </c>
      <c r="AI182" s="3">
        <v>7.0</v>
      </c>
      <c r="AJ182" s="3">
        <v>35.0</v>
      </c>
      <c r="AK182" s="3">
        <v>11.4</v>
      </c>
      <c r="AL182" s="3">
        <v>14.13</v>
      </c>
      <c r="AM182" s="3">
        <v>51.25</v>
      </c>
      <c r="AN182" s="3">
        <v>35.43</v>
      </c>
      <c r="AO182" s="3">
        <v>26.5</v>
      </c>
      <c r="AP182" s="3">
        <v>24.92</v>
      </c>
      <c r="AQ182" s="3">
        <v>7.15</v>
      </c>
      <c r="AS182" s="2">
        <v>1707.14</v>
      </c>
    </row>
    <row r="183" ht="15.75" customHeight="1">
      <c r="A183" s="2" t="s">
        <v>54</v>
      </c>
      <c r="B183" s="3">
        <v>200.0</v>
      </c>
    </row>
    <row r="184" ht="15.75" customHeight="1">
      <c r="A184" s="2" t="s">
        <v>59</v>
      </c>
      <c r="B184" s="3">
        <v>57.9</v>
      </c>
    </row>
    <row r="185" ht="15.75" customHeight="1">
      <c r="A185" s="4" t="s">
        <v>2</v>
      </c>
      <c r="B185" s="4">
        <v>1965.04</v>
      </c>
    </row>
    <row r="186" ht="15.75" customHeight="1"/>
    <row r="187" ht="15.75" customHeight="1"/>
    <row r="188" ht="15.75" customHeight="1"/>
    <row r="189" ht="15.75" customHeight="1"/>
    <row r="190" ht="15.75" customHeight="1">
      <c r="A190" s="1">
        <v>41944.0</v>
      </c>
    </row>
    <row r="191" ht="15.75" customHeight="1">
      <c r="A191" s="2" t="s">
        <v>0</v>
      </c>
      <c r="B191" s="3">
        <v>85.27</v>
      </c>
      <c r="C191" s="3">
        <v>8.01</v>
      </c>
      <c r="D191" s="3">
        <v>20.0</v>
      </c>
      <c r="E191" s="3">
        <v>31.45</v>
      </c>
      <c r="F191" s="3">
        <v>110.7</v>
      </c>
      <c r="G191" s="3">
        <v>9.24</v>
      </c>
      <c r="H191" s="3">
        <v>15.0</v>
      </c>
      <c r="I191" s="3">
        <v>87.8</v>
      </c>
      <c r="J191" s="3">
        <v>56.35</v>
      </c>
      <c r="K191" s="3">
        <v>95.5</v>
      </c>
      <c r="L191" s="3">
        <v>168.74</v>
      </c>
      <c r="M191" s="3">
        <v>18.0</v>
      </c>
      <c r="N191" s="3">
        <v>8.75</v>
      </c>
      <c r="O191" s="3">
        <v>16.14</v>
      </c>
      <c r="P191" s="3">
        <v>25.4</v>
      </c>
      <c r="Q191" s="3">
        <v>8.7</v>
      </c>
      <c r="R191" s="3">
        <v>7.0</v>
      </c>
      <c r="S191" s="3">
        <v>54.0</v>
      </c>
      <c r="T191" s="3">
        <v>79.0</v>
      </c>
      <c r="U191" s="3">
        <v>101.98</v>
      </c>
      <c r="V191" s="3">
        <v>48.73</v>
      </c>
      <c r="W191" s="3">
        <v>19.5</v>
      </c>
      <c r="X191" s="3">
        <v>24.0</v>
      </c>
      <c r="Y191" s="3">
        <v>60.9</v>
      </c>
      <c r="Z191" s="3">
        <v>20.0</v>
      </c>
      <c r="AA191" s="3">
        <v>78.54</v>
      </c>
      <c r="AB191" s="3">
        <v>76.3</v>
      </c>
      <c r="AC191" s="3">
        <v>31.35</v>
      </c>
      <c r="AD191" s="3">
        <v>184.0</v>
      </c>
      <c r="AE191" s="3">
        <v>242.0</v>
      </c>
      <c r="AF191" s="3">
        <v>15.3</v>
      </c>
      <c r="AG191" s="3">
        <v>7.5</v>
      </c>
      <c r="AH191" s="3">
        <v>62.91</v>
      </c>
      <c r="AI191" s="3">
        <v>21.08</v>
      </c>
      <c r="AJ191" s="3">
        <v>25.0</v>
      </c>
      <c r="AK191" s="3">
        <v>57.75</v>
      </c>
      <c r="AL191" s="3">
        <v>45.5</v>
      </c>
      <c r="AM191" s="3">
        <v>150.0</v>
      </c>
      <c r="AN191" s="21"/>
      <c r="AP191" s="3"/>
    </row>
    <row r="192" ht="15.75" customHeight="1">
      <c r="A192" s="2" t="s">
        <v>54</v>
      </c>
      <c r="B192" s="3">
        <v>200.0</v>
      </c>
    </row>
    <row r="193" ht="15.75" customHeight="1"/>
    <row r="194" ht="15.75" customHeight="1">
      <c r="A194" s="4" t="s">
        <v>2</v>
      </c>
      <c r="B194" s="4">
        <v>2377.39</v>
      </c>
    </row>
    <row r="195" ht="15.75" customHeight="1">
      <c r="A195" s="4"/>
      <c r="B195" s="4"/>
    </row>
    <row r="196" ht="15.75" customHeight="1"/>
    <row r="197" ht="15.75" customHeight="1"/>
    <row r="198" ht="15.75" customHeight="1"/>
    <row r="199" ht="15.75" customHeight="1">
      <c r="A199" s="1">
        <v>41974.0</v>
      </c>
    </row>
    <row r="200" ht="15.75" customHeight="1">
      <c r="A200" s="2" t="s">
        <v>0</v>
      </c>
      <c r="B200" s="3">
        <v>8.01</v>
      </c>
      <c r="C200" s="3">
        <v>20.0</v>
      </c>
      <c r="D200" s="3">
        <v>110.67</v>
      </c>
      <c r="E200" s="3">
        <v>15.0</v>
      </c>
      <c r="F200" s="3">
        <v>50.4</v>
      </c>
      <c r="G200" s="3">
        <v>65.7</v>
      </c>
      <c r="H200" s="3">
        <v>150.0</v>
      </c>
      <c r="I200" s="3">
        <v>34.23</v>
      </c>
      <c r="J200" s="3">
        <v>140.7</v>
      </c>
      <c r="K200" s="3">
        <v>43.8</v>
      </c>
      <c r="L200" s="3">
        <v>32.99</v>
      </c>
      <c r="M200" s="3">
        <v>31.25</v>
      </c>
      <c r="N200" s="3">
        <v>106.59</v>
      </c>
      <c r="O200" s="3">
        <v>42.01</v>
      </c>
      <c r="P200" s="3">
        <v>41.15</v>
      </c>
      <c r="Q200" s="3">
        <v>99.0</v>
      </c>
      <c r="R200" s="3">
        <v>16.0</v>
      </c>
      <c r="S200" s="3">
        <v>48.26</v>
      </c>
      <c r="T200" s="3">
        <v>13.5</v>
      </c>
      <c r="U200" s="3">
        <v>102.0</v>
      </c>
      <c r="V200" s="3">
        <v>45.9</v>
      </c>
      <c r="W200" s="3">
        <v>15.9</v>
      </c>
      <c r="X200" s="3">
        <v>31.0</v>
      </c>
      <c r="Y200" s="3">
        <v>72.0</v>
      </c>
      <c r="Z200" s="3">
        <v>15.83</v>
      </c>
      <c r="AA200" s="3">
        <v>43.23</v>
      </c>
      <c r="AB200" s="3">
        <v>24.52</v>
      </c>
      <c r="AC200" s="3">
        <v>120.1</v>
      </c>
      <c r="AD200" s="3">
        <v>42.0</v>
      </c>
      <c r="AE200" s="3">
        <v>140.4</v>
      </c>
      <c r="AF200" s="3">
        <v>170.0</v>
      </c>
      <c r="AG200" s="3">
        <v>21.09</v>
      </c>
      <c r="AH200" s="3">
        <v>59.85</v>
      </c>
      <c r="AI200" s="3">
        <v>34.49</v>
      </c>
      <c r="AJ200" s="3">
        <v>36.5</v>
      </c>
      <c r="AM200" s="2">
        <v>2044.07</v>
      </c>
    </row>
    <row r="201" ht="15.75" customHeight="1">
      <c r="A201" s="2" t="s">
        <v>54</v>
      </c>
      <c r="B201" s="3">
        <v>200.0</v>
      </c>
    </row>
    <row r="202" ht="15.75" customHeight="1"/>
    <row r="203" ht="15.75" customHeight="1">
      <c r="A203" s="4" t="s">
        <v>2</v>
      </c>
      <c r="B203" s="4">
        <v>2244.07</v>
      </c>
    </row>
    <row r="204" ht="15.75" customHeight="1"/>
    <row r="205" ht="15.75" customHeight="1"/>
    <row r="206" ht="15.75" customHeight="1"/>
    <row r="207" ht="15.75" customHeight="1"/>
    <row r="208" ht="15.75" customHeight="1">
      <c r="A208" s="1">
        <v>42005.0</v>
      </c>
    </row>
    <row r="209" ht="15.75" customHeight="1">
      <c r="A209" s="2" t="s">
        <v>0</v>
      </c>
      <c r="B209" s="3">
        <v>8.0</v>
      </c>
      <c r="C209" s="3">
        <v>20.0</v>
      </c>
      <c r="D209" s="3">
        <v>110.67</v>
      </c>
      <c r="E209" s="3">
        <v>15.0</v>
      </c>
      <c r="F209" s="3">
        <v>150.0</v>
      </c>
      <c r="G209" s="3">
        <v>170.0</v>
      </c>
      <c r="H209" s="3">
        <v>12.63</v>
      </c>
      <c r="I209" s="3">
        <v>64.54</v>
      </c>
      <c r="J209" s="3">
        <v>12.45</v>
      </c>
      <c r="K209" s="3">
        <v>18.87</v>
      </c>
      <c r="L209" s="3">
        <v>10.97</v>
      </c>
      <c r="M209" s="3">
        <v>59.85</v>
      </c>
      <c r="N209" s="3">
        <v>25.78</v>
      </c>
      <c r="O209" s="3">
        <v>93.5</v>
      </c>
      <c r="P209" s="3">
        <v>7.0</v>
      </c>
      <c r="Q209" s="3">
        <v>78.0</v>
      </c>
      <c r="R209" s="3">
        <v>146.52</v>
      </c>
      <c r="S209" s="3">
        <v>38.0</v>
      </c>
      <c r="T209" s="3">
        <v>25.0</v>
      </c>
      <c r="U209" s="3">
        <v>50.8</v>
      </c>
      <c r="V209" s="3">
        <v>14.25</v>
      </c>
      <c r="W209" s="3">
        <v>26.84</v>
      </c>
      <c r="X209" s="3">
        <v>29.88</v>
      </c>
      <c r="Y209" s="3">
        <v>20.89</v>
      </c>
      <c r="Z209" s="3">
        <v>15.81</v>
      </c>
      <c r="AA209" s="3">
        <v>40.07</v>
      </c>
      <c r="AB209" s="3">
        <v>63.0</v>
      </c>
      <c r="AC209" s="3"/>
      <c r="AE209" s="3"/>
    </row>
    <row r="210" ht="15.75" customHeight="1">
      <c r="A210" s="2" t="s">
        <v>54</v>
      </c>
      <c r="B210" s="3">
        <v>350.0</v>
      </c>
    </row>
    <row r="211" ht="15.75" customHeight="1"/>
    <row r="212" ht="15.75" customHeight="1">
      <c r="A212" s="4" t="s">
        <v>2</v>
      </c>
      <c r="B212" s="4">
        <v>1678.32</v>
      </c>
    </row>
    <row r="213" ht="15.75" customHeight="1">
      <c r="A213" s="4"/>
      <c r="B213" s="4"/>
    </row>
    <row r="214" ht="15.75" customHeight="1"/>
    <row r="215" ht="15.75" customHeight="1"/>
    <row r="216" ht="15.75" customHeight="1"/>
    <row r="217" ht="15.75" customHeight="1">
      <c r="A217" s="1">
        <v>42036.0</v>
      </c>
    </row>
    <row r="218" ht="15.75" customHeight="1">
      <c r="A218" s="2" t="s">
        <v>0</v>
      </c>
      <c r="B218" s="3">
        <v>20.0</v>
      </c>
      <c r="C218" s="3">
        <v>110.67</v>
      </c>
      <c r="D218" s="3">
        <v>15.0</v>
      </c>
      <c r="E218" s="3">
        <v>150.0</v>
      </c>
      <c r="F218" s="3">
        <v>170.0</v>
      </c>
      <c r="G218" s="3">
        <v>7.0</v>
      </c>
      <c r="H218" s="3">
        <v>112.75</v>
      </c>
      <c r="I218" s="3">
        <v>12.8</v>
      </c>
      <c r="J218" s="3">
        <v>23.0</v>
      </c>
      <c r="K218" s="3">
        <v>6.99</v>
      </c>
      <c r="L218" s="3">
        <v>60.45</v>
      </c>
      <c r="M218" s="3">
        <v>15.75</v>
      </c>
      <c r="N218" s="3">
        <v>11.0</v>
      </c>
      <c r="O218" s="3">
        <v>106.59</v>
      </c>
      <c r="P218" s="3">
        <v>37.0</v>
      </c>
      <c r="Q218" s="3">
        <v>29.89</v>
      </c>
      <c r="R218" s="3">
        <v>16.9</v>
      </c>
      <c r="S218" s="3">
        <v>35.0</v>
      </c>
      <c r="T218" s="3">
        <v>27.82</v>
      </c>
      <c r="U218" s="3">
        <v>20.9</v>
      </c>
      <c r="V218" s="3">
        <v>31.0</v>
      </c>
      <c r="W218" s="3">
        <v>106.48</v>
      </c>
      <c r="X218" s="3">
        <v>6.0</v>
      </c>
      <c r="Y218" s="3">
        <v>42.85</v>
      </c>
      <c r="Z218" s="3">
        <v>33.5</v>
      </c>
      <c r="AA218" s="3">
        <v>65.0</v>
      </c>
      <c r="AB218" s="3">
        <v>34.68</v>
      </c>
      <c r="AC218" s="3">
        <v>80.0</v>
      </c>
      <c r="AD218" s="3">
        <v>13.95</v>
      </c>
      <c r="AE218" s="3">
        <v>7.99</v>
      </c>
      <c r="AH218" s="3">
        <v>1410.96</v>
      </c>
    </row>
    <row r="219" ht="15.75" customHeight="1">
      <c r="A219" s="2" t="s">
        <v>54</v>
      </c>
      <c r="B219" s="2">
        <v>350.0</v>
      </c>
    </row>
    <row r="220" ht="15.75" customHeight="1"/>
    <row r="221" ht="15.75" customHeight="1">
      <c r="A221" s="4" t="s">
        <v>2</v>
      </c>
      <c r="B221" s="4">
        <v>1760.96</v>
      </c>
    </row>
    <row r="222" ht="15.75" customHeight="1"/>
    <row r="223" ht="15.75" customHeight="1"/>
    <row r="224" ht="15.75" customHeight="1"/>
    <row r="225" ht="15.75" customHeight="1"/>
    <row r="226" ht="15.75" customHeight="1">
      <c r="A226" s="1">
        <v>42064.0</v>
      </c>
    </row>
    <row r="227" ht="15.75" customHeight="1">
      <c r="A227" s="2" t="s">
        <v>0</v>
      </c>
      <c r="B227" s="3">
        <v>20.0</v>
      </c>
      <c r="C227" s="3">
        <v>110.67</v>
      </c>
      <c r="D227" s="3">
        <v>15.0</v>
      </c>
      <c r="E227" s="3">
        <v>150.0</v>
      </c>
      <c r="F227" s="3">
        <v>54.3</v>
      </c>
      <c r="G227" s="3">
        <v>62.0</v>
      </c>
      <c r="H227" s="3">
        <v>46.0</v>
      </c>
      <c r="I227" s="3">
        <v>38.67</v>
      </c>
      <c r="J227" s="3">
        <v>15.5</v>
      </c>
      <c r="K227" s="3">
        <v>85.69</v>
      </c>
      <c r="L227" s="3">
        <v>68.0</v>
      </c>
      <c r="M227" s="3">
        <v>32.85</v>
      </c>
      <c r="N227" s="3">
        <v>28.07</v>
      </c>
      <c r="O227" s="3">
        <v>18.52</v>
      </c>
      <c r="P227" s="3">
        <v>30.5</v>
      </c>
      <c r="Q227" s="3">
        <v>8.74</v>
      </c>
      <c r="R227" s="3">
        <v>32.5</v>
      </c>
      <c r="S227" s="3">
        <v>98.65</v>
      </c>
      <c r="T227" s="3">
        <v>32.28</v>
      </c>
      <c r="U227" s="3">
        <v>42.88</v>
      </c>
      <c r="V227" s="3">
        <v>10.0</v>
      </c>
      <c r="W227" s="3">
        <v>17.88</v>
      </c>
      <c r="X227" s="3">
        <v>15.5</v>
      </c>
      <c r="Y227" s="3">
        <v>41.0</v>
      </c>
      <c r="Z227" s="3">
        <v>49.15</v>
      </c>
      <c r="AA227" s="3">
        <v>93.9</v>
      </c>
      <c r="AB227" s="3">
        <v>112.5</v>
      </c>
      <c r="AC227" s="3">
        <v>135.19</v>
      </c>
      <c r="AD227" s="3">
        <v>39.8</v>
      </c>
      <c r="AE227" s="3">
        <v>114.0</v>
      </c>
      <c r="AH227" s="3"/>
    </row>
    <row r="228" ht="15.75" customHeight="1">
      <c r="A228" s="2" t="s">
        <v>54</v>
      </c>
      <c r="B228" s="3">
        <v>350.0</v>
      </c>
    </row>
    <row r="229" ht="15.75" customHeight="1"/>
    <row r="230" ht="15.75" customHeight="1">
      <c r="A230" s="4" t="s">
        <v>2</v>
      </c>
      <c r="B230" s="4">
        <v>1969.74</v>
      </c>
    </row>
    <row r="231" ht="15.75" customHeight="1"/>
    <row r="232" ht="15.75" customHeight="1"/>
    <row r="233" ht="15.75" customHeight="1"/>
    <row r="234" ht="15.75" customHeight="1">
      <c r="A234" s="1">
        <v>42095.0</v>
      </c>
    </row>
    <row r="235" ht="15.75" customHeight="1">
      <c r="A235" s="2" t="s">
        <v>0</v>
      </c>
      <c r="B235" s="3">
        <v>15.0</v>
      </c>
      <c r="C235" s="3">
        <v>150.0</v>
      </c>
      <c r="D235" s="3">
        <v>49.85</v>
      </c>
      <c r="E235" s="3">
        <v>73.0</v>
      </c>
      <c r="F235" s="3">
        <v>25.0</v>
      </c>
      <c r="G235" s="3">
        <v>45.99</v>
      </c>
      <c r="H235" s="3">
        <v>32.28</v>
      </c>
      <c r="I235" s="3">
        <v>26.16</v>
      </c>
      <c r="J235" s="3">
        <v>39.6</v>
      </c>
      <c r="K235" s="3">
        <v>110.0</v>
      </c>
      <c r="L235" s="3">
        <v>40.6</v>
      </c>
      <c r="M235" s="3">
        <v>20.5</v>
      </c>
      <c r="N235" s="3">
        <v>29.21</v>
      </c>
      <c r="O235" s="3">
        <v>66.0</v>
      </c>
      <c r="P235" s="3">
        <v>109.0</v>
      </c>
      <c r="Q235" s="3">
        <v>38.16</v>
      </c>
      <c r="R235" s="3">
        <v>5.9</v>
      </c>
      <c r="S235" s="3">
        <v>47.77</v>
      </c>
      <c r="T235" s="3">
        <v>56.7</v>
      </c>
      <c r="U235" s="3">
        <v>24.5</v>
      </c>
      <c r="V235" s="3">
        <v>18.5</v>
      </c>
      <c r="W235" s="3">
        <v>33.0</v>
      </c>
      <c r="X235" s="3">
        <v>61.6</v>
      </c>
      <c r="Y235" s="3">
        <v>16.0</v>
      </c>
      <c r="Z235" s="3">
        <v>13.25</v>
      </c>
      <c r="AA235" s="3">
        <v>19.25</v>
      </c>
      <c r="AB235" s="3">
        <v>15.27</v>
      </c>
      <c r="AC235" s="3">
        <v>16.5</v>
      </c>
      <c r="AD235" s="3">
        <v>13.25</v>
      </c>
      <c r="AE235" s="3">
        <v>59.9</v>
      </c>
      <c r="AH235" s="3"/>
    </row>
    <row r="236" ht="15.75" customHeight="1">
      <c r="A236" s="2" t="s">
        <v>54</v>
      </c>
      <c r="B236" s="2">
        <v>350.0</v>
      </c>
    </row>
    <row r="237" ht="15.75" customHeight="1"/>
    <row r="238" ht="15.75" customHeight="1">
      <c r="A238" s="4" t="s">
        <v>2</v>
      </c>
      <c r="B238" s="4">
        <v>1621.74</v>
      </c>
    </row>
    <row r="239" ht="15.75" customHeight="1"/>
    <row r="240" ht="15.75" customHeight="1"/>
    <row r="241" ht="15.75" customHeight="1"/>
    <row r="242" ht="15.75" customHeight="1"/>
    <row r="243" ht="15.75" customHeight="1">
      <c r="A243" s="1">
        <v>42125.0</v>
      </c>
    </row>
    <row r="244" ht="15.75" customHeight="1">
      <c r="A244" s="2" t="s">
        <v>0</v>
      </c>
      <c r="B244" s="3">
        <v>15.0</v>
      </c>
      <c r="C244" s="3">
        <v>27.0</v>
      </c>
      <c r="D244" s="3">
        <v>50.19</v>
      </c>
      <c r="E244" s="3">
        <v>49.2</v>
      </c>
      <c r="F244" s="3">
        <v>2.0</v>
      </c>
      <c r="G244" s="3">
        <v>23.76</v>
      </c>
      <c r="H244" s="3">
        <v>24.5</v>
      </c>
      <c r="I244" s="3">
        <v>21.65</v>
      </c>
      <c r="J244" s="3">
        <v>116.05</v>
      </c>
      <c r="K244" s="3">
        <v>38.5</v>
      </c>
      <c r="L244" s="3">
        <v>25.32</v>
      </c>
      <c r="M244" s="3">
        <v>23.0</v>
      </c>
      <c r="N244" s="3">
        <v>26.66</v>
      </c>
      <c r="O244" s="3">
        <v>26.5</v>
      </c>
      <c r="P244" s="3">
        <v>23.1</v>
      </c>
      <c r="Q244" s="3">
        <v>22.3</v>
      </c>
      <c r="R244" s="3">
        <v>61.5</v>
      </c>
      <c r="S244" s="3">
        <v>44.25</v>
      </c>
      <c r="T244" s="3">
        <v>46.0</v>
      </c>
      <c r="U244" s="3">
        <v>76.09</v>
      </c>
      <c r="V244" s="3">
        <v>46.01</v>
      </c>
      <c r="W244" s="3">
        <v>25.58</v>
      </c>
      <c r="X244" s="3">
        <v>43.72</v>
      </c>
      <c r="Y244" s="3">
        <v>29.9</v>
      </c>
      <c r="AA244" s="3"/>
    </row>
    <row r="245" ht="15.75" customHeight="1">
      <c r="A245" s="2" t="s">
        <v>54</v>
      </c>
      <c r="B245" s="3">
        <v>350.0</v>
      </c>
    </row>
    <row r="246" ht="15.75" customHeight="1"/>
    <row r="247" ht="15.75" customHeight="1">
      <c r="A247" s="4" t="s">
        <v>2</v>
      </c>
      <c r="B247" s="4">
        <v>1237.78</v>
      </c>
    </row>
    <row r="248" ht="15.75" customHeight="1"/>
    <row r="249" ht="15.75" customHeight="1"/>
    <row r="250" ht="15.75" customHeight="1"/>
    <row r="251" ht="15.75" customHeight="1"/>
    <row r="252" ht="15.75" customHeight="1">
      <c r="A252" s="1">
        <v>42156.0</v>
      </c>
    </row>
    <row r="253" ht="15.75" customHeight="1">
      <c r="A253" s="2" t="s">
        <v>0</v>
      </c>
      <c r="B253" s="3">
        <v>15.0</v>
      </c>
      <c r="C253" s="3">
        <v>78.0</v>
      </c>
      <c r="D253" s="3">
        <v>43.5</v>
      </c>
      <c r="E253" s="3">
        <v>50.14</v>
      </c>
      <c r="F253" s="3">
        <v>18.0</v>
      </c>
      <c r="G253" s="3">
        <v>26.38</v>
      </c>
      <c r="H253" s="3">
        <v>26.0</v>
      </c>
      <c r="I253" s="3">
        <v>66.3</v>
      </c>
      <c r="J253" s="3">
        <v>46.5</v>
      </c>
      <c r="K253" s="3">
        <v>39.5</v>
      </c>
      <c r="L253" s="3">
        <v>84.95</v>
      </c>
      <c r="M253" s="3">
        <v>12.51</v>
      </c>
      <c r="N253" s="3">
        <v>20.75</v>
      </c>
      <c r="O253" s="3">
        <v>22.5</v>
      </c>
      <c r="P253" s="3">
        <v>21.5</v>
      </c>
      <c r="Q253" s="3">
        <v>13.25</v>
      </c>
      <c r="R253" s="3">
        <v>11.5</v>
      </c>
      <c r="S253" s="3">
        <v>15.97</v>
      </c>
      <c r="T253" s="3">
        <v>4.4</v>
      </c>
      <c r="U253" s="3">
        <v>177.65</v>
      </c>
      <c r="V253" s="3">
        <v>72.0</v>
      </c>
      <c r="W253" s="3">
        <v>8.0</v>
      </c>
      <c r="X253" s="3">
        <v>41.6</v>
      </c>
      <c r="Y253" s="3">
        <v>103.95</v>
      </c>
      <c r="Z253" s="3">
        <v>16.0</v>
      </c>
      <c r="AA253" s="3">
        <v>26.74</v>
      </c>
      <c r="AB253" s="3">
        <v>43.88</v>
      </c>
      <c r="AC253" s="3">
        <v>40.0</v>
      </c>
      <c r="AD253" s="3">
        <v>229.9</v>
      </c>
      <c r="AE253" s="3">
        <v>18.0</v>
      </c>
      <c r="AF253" s="3">
        <v>10.0</v>
      </c>
      <c r="AG253" s="3">
        <v>13.18</v>
      </c>
      <c r="AH253" s="3">
        <v>25.58</v>
      </c>
      <c r="AK253" s="3">
        <v>1443.13</v>
      </c>
    </row>
    <row r="254" ht="15.75" customHeight="1">
      <c r="A254" s="2" t="s">
        <v>54</v>
      </c>
      <c r="B254" s="3">
        <v>350.0</v>
      </c>
    </row>
    <row r="255" ht="15.75" customHeight="1"/>
    <row r="256" ht="15.75" customHeight="1">
      <c r="A256" s="4" t="s">
        <v>2</v>
      </c>
      <c r="B256" s="4">
        <v>1793.13</v>
      </c>
    </row>
    <row r="257" ht="15.75" customHeight="1"/>
    <row r="258" ht="15.75" customHeight="1"/>
    <row r="259" ht="15.75" customHeight="1"/>
    <row r="260" ht="15.75" customHeight="1"/>
    <row r="261" ht="15.75" customHeight="1">
      <c r="A261" s="1">
        <v>42186.0</v>
      </c>
      <c r="AN261" s="2">
        <v>1519.32</v>
      </c>
    </row>
    <row r="262" ht="15.75" customHeight="1">
      <c r="A262" s="2" t="s">
        <v>0</v>
      </c>
      <c r="B262" s="3">
        <v>15.0</v>
      </c>
      <c r="C262" s="3">
        <v>84.95</v>
      </c>
      <c r="D262" s="3">
        <v>12.51</v>
      </c>
      <c r="E262" s="3">
        <v>229.9</v>
      </c>
      <c r="F262" s="3">
        <v>10.0</v>
      </c>
      <c r="G262" s="3">
        <v>25.58</v>
      </c>
      <c r="H262" s="3">
        <v>19.0</v>
      </c>
      <c r="I262" s="3">
        <v>20.4</v>
      </c>
      <c r="J262" s="3">
        <v>17.37</v>
      </c>
      <c r="K262" s="3">
        <v>17.6</v>
      </c>
      <c r="L262" s="3">
        <v>27.0</v>
      </c>
      <c r="M262" s="3">
        <v>163.36</v>
      </c>
      <c r="N262" s="3">
        <v>15.0</v>
      </c>
      <c r="O262" s="3">
        <v>10.0</v>
      </c>
      <c r="P262" s="3">
        <v>60.0</v>
      </c>
      <c r="Q262" s="3">
        <v>135.85</v>
      </c>
      <c r="R262" s="3">
        <v>20.0</v>
      </c>
      <c r="S262" s="3">
        <v>29.0</v>
      </c>
      <c r="T262" s="3">
        <v>42.0</v>
      </c>
      <c r="U262" s="3">
        <v>14.5</v>
      </c>
      <c r="V262" s="3">
        <v>50.5</v>
      </c>
      <c r="W262" s="3">
        <v>40.0</v>
      </c>
      <c r="X262" s="3">
        <v>44.47</v>
      </c>
      <c r="Y262" s="3">
        <v>22.0</v>
      </c>
      <c r="Z262" s="3">
        <v>4.0</v>
      </c>
      <c r="AA262" s="3">
        <v>28.0</v>
      </c>
      <c r="AB262" s="3">
        <v>20.0</v>
      </c>
      <c r="AC262" s="3">
        <v>18.0</v>
      </c>
      <c r="AD262" s="3">
        <v>9.0</v>
      </c>
      <c r="AE262" s="3">
        <v>64.03</v>
      </c>
      <c r="AF262" s="3">
        <v>14.94</v>
      </c>
      <c r="AG262" s="3">
        <v>4.0</v>
      </c>
      <c r="AH262" s="3">
        <v>42.0</v>
      </c>
      <c r="AI262" s="3">
        <v>6.0</v>
      </c>
      <c r="AJ262" s="3">
        <v>59.25</v>
      </c>
      <c r="AK262" s="3">
        <v>34.91</v>
      </c>
      <c r="AL262" s="3">
        <v>69.52</v>
      </c>
      <c r="AM262" s="3">
        <v>19.68</v>
      </c>
    </row>
    <row r="263" ht="15.75" customHeight="1">
      <c r="A263" s="2" t="s">
        <v>54</v>
      </c>
      <c r="B263" s="3">
        <v>350.0</v>
      </c>
    </row>
    <row r="264" ht="15.75" customHeight="1"/>
    <row r="265" ht="15.75" customHeight="1"/>
    <row r="266" ht="15.75" customHeight="1"/>
    <row r="267" ht="15.75" customHeight="1"/>
    <row r="268" ht="15.75" customHeight="1">
      <c r="A268" s="4" t="s">
        <v>2</v>
      </c>
      <c r="B268" s="4">
        <v>1869.32</v>
      </c>
    </row>
    <row r="269" ht="15.75" customHeight="1"/>
    <row r="270" ht="15.75" customHeight="1">
      <c r="A270" s="1">
        <v>42217.0</v>
      </c>
      <c r="AH270" s="2">
        <v>1103.23</v>
      </c>
    </row>
    <row r="271" ht="15.75" customHeight="1">
      <c r="A271" s="2" t="s">
        <v>0</v>
      </c>
      <c r="B271" s="3">
        <v>15.0</v>
      </c>
      <c r="C271" s="3">
        <v>12.51</v>
      </c>
      <c r="D271" s="3">
        <v>229.9</v>
      </c>
      <c r="E271" s="3">
        <v>10.0</v>
      </c>
      <c r="F271" s="3">
        <v>25.58</v>
      </c>
      <c r="G271" s="3">
        <v>85.36</v>
      </c>
      <c r="H271" s="3">
        <v>55.66</v>
      </c>
      <c r="I271" s="3">
        <v>31.25</v>
      </c>
      <c r="J271" s="3">
        <v>21.0</v>
      </c>
      <c r="K271" s="3">
        <v>23.6</v>
      </c>
      <c r="L271" s="3">
        <v>25.16</v>
      </c>
      <c r="M271" s="3">
        <v>21.43</v>
      </c>
      <c r="N271" s="3">
        <v>35.78</v>
      </c>
      <c r="O271" s="3">
        <v>24.5</v>
      </c>
      <c r="P271" s="3">
        <v>15.0</v>
      </c>
      <c r="Q271" s="3">
        <v>4.0</v>
      </c>
      <c r="R271" s="3">
        <v>48.15</v>
      </c>
      <c r="S271" s="3">
        <v>21.4</v>
      </c>
      <c r="T271" s="3">
        <v>35.36</v>
      </c>
      <c r="U271" s="3">
        <v>57.8</v>
      </c>
      <c r="V271" s="3">
        <v>21.9</v>
      </c>
      <c r="W271" s="3">
        <v>18.0</v>
      </c>
      <c r="X271" s="3">
        <v>28.9</v>
      </c>
      <c r="Y271" s="3">
        <v>20.79</v>
      </c>
      <c r="Z271" s="3">
        <v>74.8</v>
      </c>
      <c r="AA271" s="3">
        <v>20.0</v>
      </c>
      <c r="AB271" s="3">
        <v>2.69</v>
      </c>
      <c r="AC271" s="3">
        <v>40.0</v>
      </c>
      <c r="AD271" s="3">
        <v>22.51</v>
      </c>
      <c r="AE271" s="3">
        <v>10.97</v>
      </c>
      <c r="AF271" s="3">
        <v>24.23</v>
      </c>
      <c r="AG271" s="3">
        <v>20.0</v>
      </c>
    </row>
    <row r="272" ht="15.75" customHeight="1">
      <c r="A272" s="2" t="s">
        <v>54</v>
      </c>
      <c r="B272" s="3">
        <v>350.0</v>
      </c>
    </row>
    <row r="273" ht="15.75" customHeight="1">
      <c r="A273" s="2" t="s">
        <v>55</v>
      </c>
      <c r="B273" s="3">
        <v>55.0</v>
      </c>
    </row>
    <row r="274" ht="15.75" customHeight="1"/>
    <row r="275" ht="15.75" customHeight="1"/>
    <row r="276" ht="15.75" customHeight="1"/>
    <row r="277" ht="15.75" customHeight="1"/>
    <row r="278" ht="15.75" customHeight="1">
      <c r="A278" s="4" t="s">
        <v>2</v>
      </c>
      <c r="B278" s="4">
        <v>1508.23</v>
      </c>
    </row>
    <row r="279" ht="15.75" customHeight="1"/>
    <row r="280" ht="15.75" customHeight="1">
      <c r="A280" s="1">
        <v>42248.0</v>
      </c>
    </row>
    <row r="281" ht="15.75" customHeight="1">
      <c r="A281" s="2" t="s">
        <v>0</v>
      </c>
      <c r="B281" s="3">
        <v>12.51</v>
      </c>
      <c r="C281" s="3">
        <v>229.9</v>
      </c>
      <c r="D281" s="3">
        <v>25.58</v>
      </c>
      <c r="E281" s="3">
        <v>25.16</v>
      </c>
      <c r="F281" s="3">
        <v>15.0</v>
      </c>
      <c r="G281" s="3">
        <v>40.0</v>
      </c>
      <c r="H281" s="3">
        <v>31.1</v>
      </c>
      <c r="I281" s="3">
        <v>57.83</v>
      </c>
      <c r="J281" s="3">
        <v>9.8</v>
      </c>
      <c r="K281" s="3">
        <v>18.0</v>
      </c>
      <c r="L281" s="3">
        <v>112.0</v>
      </c>
      <c r="M281" s="3">
        <v>34.5</v>
      </c>
      <c r="N281" s="3">
        <v>40.0</v>
      </c>
      <c r="O281" s="3">
        <v>29.84</v>
      </c>
      <c r="P281" s="3">
        <v>53.5</v>
      </c>
      <c r="Q281" s="3">
        <v>20.1</v>
      </c>
      <c r="R281" s="3">
        <v>20.0</v>
      </c>
      <c r="S281" s="3">
        <v>18.0</v>
      </c>
      <c r="T281" s="3">
        <v>40.0</v>
      </c>
      <c r="U281" s="3">
        <v>27.5</v>
      </c>
      <c r="V281" s="3">
        <v>41.17</v>
      </c>
      <c r="W281" s="3">
        <v>13.0</v>
      </c>
      <c r="X281" s="3">
        <v>23.7</v>
      </c>
      <c r="Y281" s="3">
        <v>27.0</v>
      </c>
      <c r="Z281" s="3">
        <v>27.0</v>
      </c>
      <c r="AA281" s="3">
        <v>25.0</v>
      </c>
      <c r="AB281" s="3">
        <v>40.0</v>
      </c>
      <c r="AC281" s="3">
        <v>20.0</v>
      </c>
      <c r="AD281" s="3">
        <v>12.0</v>
      </c>
      <c r="AE281" s="3">
        <v>49.56</v>
      </c>
      <c r="AF281" s="3">
        <v>54.8</v>
      </c>
      <c r="AG281" s="3">
        <v>48.4</v>
      </c>
      <c r="AH281" s="3">
        <v>21.8</v>
      </c>
      <c r="AI281" s="3">
        <v>16.0</v>
      </c>
      <c r="AJ281" s="3">
        <v>4.0</v>
      </c>
      <c r="AK281" s="3">
        <v>31.5</v>
      </c>
      <c r="AL281" s="3">
        <v>50.08</v>
      </c>
      <c r="AM281" s="3">
        <v>48.07</v>
      </c>
      <c r="AN281" s="3">
        <v>45.5</v>
      </c>
      <c r="AO281" s="3">
        <v>11.5</v>
      </c>
      <c r="AP281" s="3">
        <v>83.2</v>
      </c>
      <c r="AQ281" s="3">
        <v>34.8</v>
      </c>
      <c r="AR281" s="3">
        <v>90.42</v>
      </c>
      <c r="AS281" s="3">
        <v>13.88</v>
      </c>
      <c r="AT281" s="3">
        <v>10.22</v>
      </c>
    </row>
    <row r="282" ht="15.75" customHeight="1">
      <c r="A282" s="2" t="s">
        <v>54</v>
      </c>
      <c r="B282" s="3">
        <v>350.0</v>
      </c>
    </row>
    <row r="283" ht="15.75" customHeight="1"/>
    <row r="284" ht="15.75" customHeight="1"/>
    <row r="285" ht="15.75" customHeight="1"/>
    <row r="286" ht="15.75" customHeight="1">
      <c r="A286" s="4" t="s">
        <v>2</v>
      </c>
      <c r="B286" s="4">
        <v>2052.92</v>
      </c>
    </row>
    <row r="287" ht="15.75" customHeight="1"/>
    <row r="288" ht="15.75" customHeight="1">
      <c r="A288" s="1">
        <v>42309.0</v>
      </c>
    </row>
    <row r="289" ht="15.75" customHeight="1">
      <c r="A289" s="2" t="s">
        <v>0</v>
      </c>
      <c r="B289" s="3">
        <v>229.9</v>
      </c>
      <c r="C289" s="3">
        <v>25.58</v>
      </c>
      <c r="D289" s="3">
        <v>25.16</v>
      </c>
      <c r="E289" s="3">
        <v>83.2</v>
      </c>
      <c r="F289" s="3">
        <v>52.9</v>
      </c>
      <c r="G289" s="3">
        <v>34.88</v>
      </c>
      <c r="H289" s="3">
        <v>58.0</v>
      </c>
      <c r="I289" s="3">
        <v>69.0</v>
      </c>
      <c r="J289" s="3">
        <v>64.0</v>
      </c>
      <c r="K289" s="3">
        <v>42.0</v>
      </c>
      <c r="L289" s="3">
        <v>24.5</v>
      </c>
      <c r="M289" s="3">
        <v>151.7</v>
      </c>
      <c r="N289" s="3">
        <v>46.0</v>
      </c>
      <c r="O289" s="3">
        <v>34.0</v>
      </c>
      <c r="P289" s="3">
        <v>62.16</v>
      </c>
      <c r="Q289" s="3">
        <v>61.6</v>
      </c>
      <c r="R289" s="3">
        <v>34.5</v>
      </c>
      <c r="S289" s="3">
        <v>21.0</v>
      </c>
      <c r="T289" s="3">
        <v>43.07</v>
      </c>
      <c r="U289" s="3">
        <v>48.0</v>
      </c>
      <c r="V289" s="3">
        <v>20.5</v>
      </c>
      <c r="W289" s="3">
        <v>23.0</v>
      </c>
      <c r="X289" s="3">
        <v>37.0</v>
      </c>
      <c r="Y289" s="3">
        <v>56.3</v>
      </c>
      <c r="Z289" s="3">
        <v>14.8</v>
      </c>
      <c r="AA289" s="3">
        <v>53.8</v>
      </c>
      <c r="AB289" s="3">
        <v>6.16</v>
      </c>
      <c r="AC289" s="3">
        <v>45.25</v>
      </c>
      <c r="AD289" s="3">
        <v>20.77</v>
      </c>
      <c r="AE289" s="3">
        <v>16.56</v>
      </c>
      <c r="AF289" s="3">
        <v>13.0</v>
      </c>
    </row>
    <row r="290" ht="15.75" customHeight="1">
      <c r="A290" s="2" t="s">
        <v>54</v>
      </c>
      <c r="B290" s="3">
        <v>350.0</v>
      </c>
    </row>
    <row r="291" ht="15.75" customHeight="1"/>
    <row r="292" ht="15.75" customHeight="1"/>
    <row r="293" ht="15.75" customHeight="1"/>
    <row r="294" ht="15.75" customHeight="1"/>
    <row r="295" ht="15.75" customHeight="1">
      <c r="A295" s="4" t="s">
        <v>2</v>
      </c>
      <c r="B295" s="4">
        <v>1868.29</v>
      </c>
    </row>
    <row r="296" ht="15.75" customHeight="1"/>
    <row r="297" ht="15.75" customHeight="1">
      <c r="A297" s="1">
        <v>42339.0</v>
      </c>
    </row>
    <row r="298" ht="15.75" customHeight="1">
      <c r="A298" s="2" t="s">
        <v>0</v>
      </c>
      <c r="B298" s="3">
        <v>229.9</v>
      </c>
      <c r="C298" s="3">
        <v>25.58</v>
      </c>
      <c r="D298" s="3">
        <v>83.2</v>
      </c>
      <c r="E298" s="3">
        <v>56.3</v>
      </c>
      <c r="F298" s="3">
        <v>45.27</v>
      </c>
      <c r="G298" s="3">
        <v>35.0</v>
      </c>
      <c r="H298" s="3">
        <v>108.85</v>
      </c>
      <c r="I298" s="3">
        <v>47.3</v>
      </c>
      <c r="J298" s="3">
        <v>17.75</v>
      </c>
      <c r="K298" s="3">
        <v>43.0</v>
      </c>
      <c r="L298" s="3">
        <v>140.0</v>
      </c>
      <c r="M298" s="3">
        <v>30.9</v>
      </c>
      <c r="N298" s="3">
        <v>56.1</v>
      </c>
      <c r="O298" s="3">
        <v>52.0</v>
      </c>
      <c r="P298" s="3">
        <v>54.77</v>
      </c>
      <c r="Q298" s="3">
        <v>26.5</v>
      </c>
      <c r="R298" s="3">
        <v>86.35</v>
      </c>
      <c r="S298" s="3">
        <v>69.5</v>
      </c>
      <c r="T298" s="3">
        <v>92.0</v>
      </c>
      <c r="U298" s="3">
        <v>49.98</v>
      </c>
      <c r="V298" s="3">
        <v>37.08</v>
      </c>
      <c r="W298" s="3">
        <v>68.5</v>
      </c>
      <c r="X298" s="3">
        <v>27.25</v>
      </c>
      <c r="Y298" s="3">
        <v>8.5</v>
      </c>
      <c r="Z298" s="3">
        <v>13.29</v>
      </c>
      <c r="AA298" s="3">
        <v>75.75</v>
      </c>
      <c r="AB298" s="3">
        <v>51.83</v>
      </c>
      <c r="AC298" s="3">
        <v>20.25</v>
      </c>
      <c r="AD298" s="3">
        <v>6.6</v>
      </c>
    </row>
    <row r="299" ht="15.75" customHeight="1">
      <c r="A299" s="2" t="s">
        <v>54</v>
      </c>
      <c r="B299" s="3">
        <v>350.0</v>
      </c>
    </row>
    <row r="300" ht="15.75" customHeight="1"/>
    <row r="301" ht="15.75" customHeight="1"/>
    <row r="302" ht="15.75" customHeight="1"/>
    <row r="303" ht="15.75" customHeight="1"/>
    <row r="304" ht="15.75" customHeight="1">
      <c r="A304" s="4" t="s">
        <v>2</v>
      </c>
      <c r="B304" s="4">
        <v>2009.3</v>
      </c>
    </row>
    <row r="305" ht="15.75" customHeight="1"/>
    <row r="306" ht="15.75" customHeight="1">
      <c r="A306" s="1">
        <v>42370.0</v>
      </c>
    </row>
    <row r="307" ht="15.75" customHeight="1">
      <c r="A307" s="2" t="s">
        <v>0</v>
      </c>
      <c r="B307" s="3">
        <v>229.9</v>
      </c>
      <c r="C307" s="3">
        <v>83.2</v>
      </c>
      <c r="D307" s="3">
        <v>45.27</v>
      </c>
      <c r="E307" s="3">
        <v>140.0</v>
      </c>
      <c r="F307" s="3">
        <v>52.0</v>
      </c>
      <c r="G307" s="3">
        <v>6.6</v>
      </c>
      <c r="H307" s="3">
        <v>124.85</v>
      </c>
      <c r="I307" s="3">
        <v>49.5</v>
      </c>
      <c r="J307" s="3">
        <v>48.26</v>
      </c>
      <c r="K307" s="3">
        <v>79.8</v>
      </c>
      <c r="L307" s="3">
        <v>33.08</v>
      </c>
      <c r="M307" s="3">
        <v>62.0</v>
      </c>
      <c r="N307" s="3">
        <v>82.6</v>
      </c>
      <c r="O307" s="3">
        <v>59.86</v>
      </c>
      <c r="P307" s="3">
        <v>132.55</v>
      </c>
      <c r="Q307" s="3">
        <v>49.5</v>
      </c>
      <c r="R307" s="3">
        <v>26.5</v>
      </c>
      <c r="S307" s="3">
        <v>60.7</v>
      </c>
      <c r="T307" s="3"/>
    </row>
    <row r="308" ht="15.75" customHeight="1">
      <c r="A308" s="2" t="s">
        <v>54</v>
      </c>
      <c r="B308" s="3">
        <v>350.0</v>
      </c>
    </row>
    <row r="309" ht="15.75" customHeight="1"/>
    <row r="310" ht="15.75" customHeight="1"/>
    <row r="311" ht="15.75" customHeight="1"/>
    <row r="312" ht="15.75" customHeight="1"/>
    <row r="313" ht="15.75" customHeight="1">
      <c r="A313" s="4" t="s">
        <v>2</v>
      </c>
      <c r="B313" s="4">
        <v>1716.17</v>
      </c>
    </row>
    <row r="314" ht="15.75" customHeight="1"/>
    <row r="315" ht="15.75" customHeight="1">
      <c r="A315" s="1">
        <v>42401.0</v>
      </c>
    </row>
    <row r="316" ht="15.75" customHeight="1">
      <c r="A316" s="2" t="s">
        <v>0</v>
      </c>
      <c r="B316" s="3">
        <v>229.9</v>
      </c>
      <c r="C316" s="3">
        <v>83.2</v>
      </c>
      <c r="D316" s="3">
        <v>52.0</v>
      </c>
      <c r="E316" s="3">
        <v>91.08</v>
      </c>
      <c r="F316" s="3">
        <v>45.0</v>
      </c>
      <c r="G316" s="3">
        <v>40.24</v>
      </c>
      <c r="H316" s="3">
        <v>55.56</v>
      </c>
      <c r="I316" s="3">
        <v>58.8</v>
      </c>
      <c r="J316" s="3">
        <v>67.2</v>
      </c>
      <c r="K316" s="3">
        <v>17.68</v>
      </c>
      <c r="L316" s="3">
        <v>80.0</v>
      </c>
      <c r="M316" s="3">
        <v>12.0</v>
      </c>
      <c r="N316" s="3">
        <v>12.0</v>
      </c>
      <c r="O316" s="3">
        <v>105.0</v>
      </c>
      <c r="P316" s="3">
        <v>49.86</v>
      </c>
      <c r="Q316" s="3">
        <v>16.75</v>
      </c>
      <c r="R316" s="3">
        <v>15.0</v>
      </c>
    </row>
    <row r="317" ht="15.75" customHeight="1">
      <c r="A317" s="2" t="s">
        <v>54</v>
      </c>
      <c r="B317" s="3">
        <v>350.0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ht="15.75" customHeight="1"/>
    <row r="319" ht="15.75" customHeight="1"/>
    <row r="320" ht="15.75" customHeight="1"/>
    <row r="321" ht="15.75" customHeight="1"/>
    <row r="322" ht="15.75" customHeight="1">
      <c r="A322" s="22" t="s">
        <v>2</v>
      </c>
      <c r="B322" s="22">
        <v>1381.27</v>
      </c>
    </row>
    <row r="323" ht="15.75" customHeight="1">
      <c r="A323" s="23"/>
      <c r="B323" s="23"/>
    </row>
    <row r="324" ht="15.75" customHeight="1">
      <c r="A324" s="1">
        <v>42430.0</v>
      </c>
    </row>
    <row r="325" ht="15.75" customHeight="1">
      <c r="A325" s="2" t="s">
        <v>0</v>
      </c>
      <c r="B325" s="7">
        <v>229.9</v>
      </c>
      <c r="C325" s="7">
        <v>83.2</v>
      </c>
      <c r="D325" s="7">
        <v>52.0</v>
      </c>
      <c r="E325" s="7">
        <v>48.8</v>
      </c>
      <c r="F325" s="7">
        <v>45.25</v>
      </c>
      <c r="G325" s="7">
        <v>66.1</v>
      </c>
      <c r="H325" s="7">
        <v>33.0</v>
      </c>
      <c r="I325" s="7">
        <v>66.11</v>
      </c>
      <c r="J325" s="7">
        <v>27.68</v>
      </c>
      <c r="K325" s="7">
        <v>30.4</v>
      </c>
      <c r="L325" s="7">
        <v>14.5</v>
      </c>
      <c r="M325" s="7">
        <v>45.98</v>
      </c>
      <c r="N325" s="7">
        <v>14.26</v>
      </c>
      <c r="O325" s="7">
        <v>201.96</v>
      </c>
      <c r="P325" s="7">
        <v>34.67</v>
      </c>
      <c r="Q325" s="7">
        <v>19.8</v>
      </c>
      <c r="R325" s="7">
        <v>51.49</v>
      </c>
      <c r="S325" s="7">
        <v>8.0</v>
      </c>
      <c r="T325" s="7">
        <v>30.0</v>
      </c>
      <c r="U325" s="7">
        <v>30.22</v>
      </c>
      <c r="V325" s="7">
        <v>10.48</v>
      </c>
      <c r="W325" s="7">
        <v>22.32</v>
      </c>
      <c r="X325" s="7">
        <v>39.5</v>
      </c>
      <c r="Y325" s="7">
        <v>68.4</v>
      </c>
      <c r="Z325" s="7">
        <v>20.34</v>
      </c>
      <c r="AA325" s="7">
        <v>77.55</v>
      </c>
      <c r="AB325" s="7">
        <v>12.0</v>
      </c>
      <c r="AC325" s="7">
        <v>27.0</v>
      </c>
      <c r="AD325" s="7">
        <v>66.0</v>
      </c>
      <c r="AE325" s="7">
        <v>10.44</v>
      </c>
    </row>
    <row r="326" ht="15.75" customHeight="1">
      <c r="A326" s="2" t="s">
        <v>54</v>
      </c>
      <c r="B326" s="7">
        <v>350.0</v>
      </c>
    </row>
    <row r="327" ht="15.75" customHeight="1"/>
    <row r="328" ht="15.75" customHeight="1"/>
    <row r="329" ht="15.75" customHeight="1"/>
    <row r="330" ht="15.75" customHeight="1"/>
    <row r="331" ht="15.75" customHeight="1">
      <c r="A331" s="22" t="s">
        <v>2</v>
      </c>
      <c r="B331" s="22">
        <v>1837.35</v>
      </c>
    </row>
    <row r="332" ht="15.75" customHeight="1"/>
    <row r="333" ht="15.75" customHeight="1">
      <c r="A333" s="1">
        <v>42461.0</v>
      </c>
    </row>
    <row r="334" ht="15.75" customHeight="1">
      <c r="A334" s="2" t="s">
        <v>0</v>
      </c>
      <c r="B334" s="7">
        <v>229.9</v>
      </c>
      <c r="C334" s="7">
        <v>30.22</v>
      </c>
      <c r="D334" s="7">
        <v>81.4</v>
      </c>
      <c r="E334" s="7">
        <v>38.0</v>
      </c>
      <c r="F334" s="7">
        <v>16.76</v>
      </c>
      <c r="G334" s="7">
        <v>167.75</v>
      </c>
      <c r="H334" s="7">
        <v>34.9</v>
      </c>
      <c r="I334" s="7">
        <v>76.0</v>
      </c>
      <c r="J334" s="7">
        <v>19.97</v>
      </c>
      <c r="K334" s="7">
        <v>24.0</v>
      </c>
      <c r="L334" s="7">
        <v>51.36</v>
      </c>
      <c r="M334" s="7">
        <v>52.39</v>
      </c>
      <c r="N334" s="7">
        <v>40.0</v>
      </c>
      <c r="O334" s="7">
        <v>32.0</v>
      </c>
      <c r="P334" s="7">
        <v>37.0</v>
      </c>
      <c r="Q334" s="7">
        <v>30.0</v>
      </c>
      <c r="R334" s="7">
        <v>27.9</v>
      </c>
      <c r="S334" s="7">
        <v>63.8</v>
      </c>
      <c r="T334" s="7">
        <v>49.8</v>
      </c>
      <c r="U334" s="7">
        <v>199.99</v>
      </c>
      <c r="V334" s="7">
        <v>78.65</v>
      </c>
      <c r="W334" s="7">
        <v>37.23</v>
      </c>
      <c r="X334" s="7">
        <v>35.75</v>
      </c>
      <c r="Y334" s="7">
        <v>44.65</v>
      </c>
      <c r="Z334" s="7">
        <v>17.05</v>
      </c>
      <c r="AA334" s="7">
        <v>21.18</v>
      </c>
      <c r="AB334" s="7">
        <v>65.7</v>
      </c>
      <c r="AC334" s="7">
        <v>26.05</v>
      </c>
      <c r="AD334" s="7">
        <v>59.8</v>
      </c>
      <c r="AE334" s="7">
        <v>69.0</v>
      </c>
      <c r="AF334" s="7">
        <v>137.6</v>
      </c>
      <c r="AG334" s="7">
        <v>49.9</v>
      </c>
    </row>
    <row r="335" ht="15.75" customHeight="1">
      <c r="A335" s="2" t="s">
        <v>54</v>
      </c>
      <c r="B335" s="2">
        <v>350.0</v>
      </c>
    </row>
    <row r="336" ht="15.75" customHeight="1"/>
    <row r="337" ht="15.75" customHeight="1"/>
    <row r="338" ht="15.75" customHeight="1"/>
    <row r="339" ht="15.75" customHeight="1"/>
    <row r="340" ht="15.75" customHeight="1">
      <c r="A340" s="2" t="s">
        <v>2</v>
      </c>
      <c r="B340" s="2">
        <v>2295.7</v>
      </c>
    </row>
    <row r="341" ht="15.75" customHeight="1"/>
    <row r="342" ht="15.75" customHeight="1">
      <c r="A342" s="1">
        <v>42491.0</v>
      </c>
    </row>
    <row r="343" ht="15.75" customHeight="1">
      <c r="A343" s="2" t="s">
        <v>0</v>
      </c>
      <c r="B343" s="3">
        <v>30.22</v>
      </c>
      <c r="C343" s="3">
        <v>59.0</v>
      </c>
      <c r="D343" s="3">
        <v>132.71</v>
      </c>
      <c r="E343" s="3">
        <v>31.0</v>
      </c>
      <c r="F343" s="3">
        <v>20.66</v>
      </c>
      <c r="G343" s="3">
        <v>81.0</v>
      </c>
      <c r="H343" s="3">
        <v>40.0</v>
      </c>
      <c r="I343" s="3">
        <v>49.45</v>
      </c>
      <c r="J343" s="3">
        <v>27.25</v>
      </c>
      <c r="K343" s="3">
        <v>36.96</v>
      </c>
      <c r="L343" s="3">
        <v>33.85</v>
      </c>
      <c r="M343" s="3">
        <v>38.0</v>
      </c>
      <c r="N343" s="3">
        <v>75.0</v>
      </c>
      <c r="O343" s="3">
        <v>34.05</v>
      </c>
      <c r="P343" s="3">
        <v>29.7</v>
      </c>
      <c r="Q343" s="3">
        <v>49.73</v>
      </c>
      <c r="R343" s="3">
        <v>17.5</v>
      </c>
      <c r="S343" s="3">
        <v>40.0</v>
      </c>
      <c r="T343" s="3">
        <v>33.53</v>
      </c>
      <c r="U343" s="3">
        <v>26.9</v>
      </c>
      <c r="V343" s="3">
        <v>22.0</v>
      </c>
      <c r="W343" s="3">
        <v>18.0</v>
      </c>
      <c r="X343" s="3">
        <v>13.0</v>
      </c>
      <c r="Y343" s="3">
        <v>12.0</v>
      </c>
      <c r="Z343" s="3">
        <v>49.6</v>
      </c>
      <c r="AA343" s="3">
        <v>16.0</v>
      </c>
      <c r="AB343" s="3">
        <v>12.0</v>
      </c>
      <c r="AC343" s="3">
        <v>54.0</v>
      </c>
      <c r="AD343" s="3">
        <v>30.0</v>
      </c>
      <c r="AE343" s="3">
        <v>4.0</v>
      </c>
      <c r="AF343" s="3">
        <v>162.34</v>
      </c>
    </row>
    <row r="344" ht="15.75" customHeight="1">
      <c r="A344" s="2" t="s">
        <v>61</v>
      </c>
      <c r="B344" s="3">
        <v>108.4</v>
      </c>
    </row>
    <row r="345" ht="15.75" customHeight="1">
      <c r="A345" s="2" t="s">
        <v>54</v>
      </c>
      <c r="B345" s="3">
        <v>350.0</v>
      </c>
    </row>
    <row r="346" ht="15.75" customHeight="1"/>
    <row r="347" ht="15.75" customHeight="1"/>
    <row r="348" ht="15.75" customHeight="1"/>
    <row r="349" ht="15.75" customHeight="1">
      <c r="A349" s="2" t="s">
        <v>2</v>
      </c>
      <c r="B349" s="2">
        <v>1737.85</v>
      </c>
    </row>
    <row r="350" ht="15.75" customHeight="1"/>
    <row r="351" ht="15.75" customHeight="1">
      <c r="A351" s="24" t="s">
        <v>62</v>
      </c>
      <c r="M351" s="3"/>
    </row>
    <row r="352" ht="15.75" customHeight="1">
      <c r="A352" s="2" t="s">
        <v>0</v>
      </c>
      <c r="B352" s="3">
        <v>30.22</v>
      </c>
      <c r="C352" s="3">
        <v>59.0</v>
      </c>
      <c r="D352" s="3">
        <v>132.71</v>
      </c>
      <c r="E352" s="3">
        <v>162.33</v>
      </c>
      <c r="F352" s="3">
        <v>27.45</v>
      </c>
      <c r="G352" s="3">
        <v>80.0</v>
      </c>
      <c r="H352" s="3">
        <v>21.0</v>
      </c>
      <c r="I352" s="3">
        <v>80.8</v>
      </c>
      <c r="J352" s="3">
        <v>16.0</v>
      </c>
      <c r="K352" s="3">
        <v>16.9</v>
      </c>
      <c r="L352" s="3">
        <v>14.0</v>
      </c>
      <c r="M352" s="3">
        <v>100.04</v>
      </c>
      <c r="N352" s="3">
        <v>129.14</v>
      </c>
      <c r="O352" s="3">
        <v>20.0</v>
      </c>
      <c r="P352" s="3">
        <v>39.99</v>
      </c>
      <c r="Q352" s="3">
        <v>39.95</v>
      </c>
      <c r="R352" s="3">
        <v>84.7</v>
      </c>
      <c r="S352" s="3">
        <v>77.0</v>
      </c>
      <c r="T352" s="3">
        <v>163.32</v>
      </c>
      <c r="U352" s="3">
        <v>87.0</v>
      </c>
      <c r="V352" s="3">
        <v>147.89</v>
      </c>
      <c r="W352" s="3">
        <v>35.1</v>
      </c>
      <c r="X352" s="3">
        <v>21.17</v>
      </c>
      <c r="Y352" s="3">
        <v>16.0</v>
      </c>
      <c r="Z352" s="3">
        <v>60.0</v>
      </c>
      <c r="AA352" s="3">
        <v>61.13</v>
      </c>
      <c r="AB352" s="3">
        <v>92.4</v>
      </c>
      <c r="AC352" s="3">
        <v>18.0</v>
      </c>
      <c r="AD352" s="3">
        <v>75.6</v>
      </c>
      <c r="AE352" s="3">
        <v>36.73</v>
      </c>
      <c r="AF352" s="3">
        <v>44.89</v>
      </c>
      <c r="AG352" s="3">
        <v>18.0</v>
      </c>
      <c r="AH352" s="3">
        <v>17.44</v>
      </c>
      <c r="AI352" s="3">
        <v>37.8</v>
      </c>
      <c r="AJ352" s="3">
        <v>38.73</v>
      </c>
    </row>
    <row r="353" ht="15.75" customHeight="1">
      <c r="A353" s="2" t="s">
        <v>54</v>
      </c>
      <c r="B353" s="3">
        <v>350.0</v>
      </c>
    </row>
    <row r="354" ht="15.75" customHeight="1">
      <c r="A354" s="2" t="s">
        <v>55</v>
      </c>
      <c r="B354" s="3">
        <v>20.4</v>
      </c>
    </row>
    <row r="355" ht="15.75" customHeight="1"/>
    <row r="356" ht="15.75" customHeight="1"/>
    <row r="357" ht="15.75" customHeight="1"/>
    <row r="358" ht="15.75" customHeight="1">
      <c r="A358" s="2" t="s">
        <v>2</v>
      </c>
      <c r="B358" s="2">
        <v>2472.83</v>
      </c>
    </row>
    <row r="359" ht="15.75" customHeight="1"/>
    <row r="360" ht="15.75" customHeight="1">
      <c r="A360" s="2" t="s">
        <v>63</v>
      </c>
    </row>
    <row r="361" ht="15.75" customHeight="1">
      <c r="A361" s="2" t="s">
        <v>0</v>
      </c>
      <c r="B361" s="3">
        <v>30.22</v>
      </c>
      <c r="C361" s="3">
        <v>59.0</v>
      </c>
      <c r="D361" s="3">
        <v>162.33</v>
      </c>
      <c r="E361" s="3">
        <v>35.0</v>
      </c>
      <c r="F361" s="3">
        <v>35.62</v>
      </c>
      <c r="G361" s="3">
        <v>30.82</v>
      </c>
      <c r="H361" s="3">
        <v>33.0</v>
      </c>
      <c r="I361" s="3">
        <v>21.0</v>
      </c>
      <c r="J361" s="3">
        <v>14.85</v>
      </c>
      <c r="K361" s="3">
        <v>53.4</v>
      </c>
      <c r="L361" s="3">
        <v>85.91</v>
      </c>
      <c r="M361" s="3">
        <v>63.5</v>
      </c>
      <c r="N361" s="3">
        <v>35.88</v>
      </c>
      <c r="O361" s="3">
        <v>41.17</v>
      </c>
      <c r="P361" s="3">
        <v>38.73</v>
      </c>
      <c r="Q361" s="3">
        <v>39.0</v>
      </c>
      <c r="R361" s="3">
        <v>21.0</v>
      </c>
      <c r="S361" s="3">
        <v>29.37</v>
      </c>
      <c r="T361" s="3">
        <v>20.15</v>
      </c>
      <c r="U361" s="3">
        <v>8.99</v>
      </c>
      <c r="V361" s="3">
        <v>55.82</v>
      </c>
      <c r="W361" s="3">
        <v>9.0</v>
      </c>
      <c r="X361" s="3">
        <v>34.5</v>
      </c>
      <c r="Y361" s="3">
        <v>94.32</v>
      </c>
      <c r="Z361" s="3">
        <v>47.04</v>
      </c>
      <c r="AA361" s="3">
        <v>18.45</v>
      </c>
      <c r="AB361" s="3">
        <v>37.77</v>
      </c>
      <c r="AC361" s="3">
        <v>52.63</v>
      </c>
      <c r="AD361" s="3">
        <v>16.0</v>
      </c>
      <c r="AE361" s="3">
        <v>126.38</v>
      </c>
      <c r="AF361" s="3">
        <v>130.68</v>
      </c>
      <c r="AG361" s="3">
        <v>78.0</v>
      </c>
      <c r="AH361" s="3">
        <v>20.0</v>
      </c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>
      <c r="A368" s="2" t="s">
        <v>2</v>
      </c>
      <c r="B368" s="2">
        <v>1579.53</v>
      </c>
    </row>
    <row r="369" ht="15.75" customHeight="1"/>
    <row r="370" ht="15.75" customHeight="1">
      <c r="A370" s="24" t="s">
        <v>64</v>
      </c>
    </row>
    <row r="371" ht="15.75" customHeight="1">
      <c r="A371" s="2" t="s">
        <v>0</v>
      </c>
      <c r="B371" s="3">
        <v>30.22</v>
      </c>
      <c r="C371" s="3">
        <v>59.0</v>
      </c>
      <c r="D371" s="3">
        <v>40.7</v>
      </c>
      <c r="E371" s="3">
        <v>30.82</v>
      </c>
      <c r="F371" s="3">
        <v>33.0</v>
      </c>
      <c r="G371" s="3">
        <v>41.17</v>
      </c>
      <c r="H371" s="3">
        <v>38.73</v>
      </c>
      <c r="I371" s="3">
        <v>140.8</v>
      </c>
      <c r="J371" s="3">
        <v>26.5</v>
      </c>
      <c r="K371" s="3">
        <v>113.34</v>
      </c>
      <c r="L371" s="3">
        <v>56.68</v>
      </c>
      <c r="M371" s="3">
        <v>43.5</v>
      </c>
      <c r="N371" s="3">
        <v>36.7</v>
      </c>
      <c r="O371" s="3">
        <v>47.44</v>
      </c>
      <c r="P371" s="3">
        <v>80.0</v>
      </c>
      <c r="Q371" s="3">
        <v>35.5</v>
      </c>
      <c r="R371" s="3">
        <v>41.14</v>
      </c>
      <c r="S371" s="3">
        <v>62.0</v>
      </c>
      <c r="T371" s="3">
        <v>31.02</v>
      </c>
      <c r="U371" s="3">
        <v>21.9</v>
      </c>
      <c r="V371" s="3">
        <v>37.8</v>
      </c>
      <c r="W371" s="3">
        <v>52.3</v>
      </c>
      <c r="X371" s="3">
        <v>29.5</v>
      </c>
      <c r="Y371" s="3">
        <v>12.0</v>
      </c>
      <c r="Z371" s="3">
        <v>95.0</v>
      </c>
      <c r="AA371" s="3">
        <v>3.0</v>
      </c>
      <c r="AB371" s="3">
        <v>58.97</v>
      </c>
      <c r="AC371" s="3"/>
      <c r="AD371" s="3"/>
      <c r="AE371" s="3"/>
    </row>
    <row r="372" ht="15.75" customHeight="1">
      <c r="A372" s="2" t="s">
        <v>55</v>
      </c>
      <c r="B372" s="3">
        <v>58.4</v>
      </c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>
      <c r="A378" s="2" t="s">
        <v>2</v>
      </c>
      <c r="B378" s="2">
        <v>1357.13</v>
      </c>
    </row>
    <row r="379" ht="15.75" customHeight="1"/>
    <row r="380" ht="15.75" customHeight="1">
      <c r="A380" s="24" t="s">
        <v>65</v>
      </c>
    </row>
    <row r="381" ht="15.75" customHeight="1">
      <c r="A381" s="2" t="s">
        <v>0</v>
      </c>
      <c r="B381" s="7">
        <v>30.22</v>
      </c>
      <c r="C381" s="7">
        <v>59.0</v>
      </c>
      <c r="D381" s="7">
        <v>30.82</v>
      </c>
      <c r="E381" s="7">
        <v>33.0</v>
      </c>
      <c r="F381" s="7">
        <v>41.17</v>
      </c>
      <c r="G381" s="7">
        <v>40.07</v>
      </c>
      <c r="H381" s="7">
        <v>56.68</v>
      </c>
      <c r="I381" s="7">
        <v>113.34</v>
      </c>
      <c r="J381" s="7">
        <v>18.0</v>
      </c>
      <c r="K381" s="7">
        <v>35.0</v>
      </c>
      <c r="L381" s="7">
        <v>30.0</v>
      </c>
      <c r="M381" s="7">
        <v>63.3</v>
      </c>
      <c r="N381" s="7">
        <v>29.9</v>
      </c>
      <c r="O381" s="7">
        <v>59.5</v>
      </c>
      <c r="P381" s="7">
        <v>50.17</v>
      </c>
      <c r="Q381" s="7">
        <v>43.5</v>
      </c>
      <c r="R381" s="7">
        <v>103.4</v>
      </c>
      <c r="S381" s="7">
        <v>43.6</v>
      </c>
      <c r="T381" s="7">
        <v>79.8</v>
      </c>
      <c r="U381" s="7">
        <v>29.5</v>
      </c>
      <c r="V381" s="7">
        <v>88.35</v>
      </c>
      <c r="W381" s="7">
        <v>67.0</v>
      </c>
      <c r="X381" s="7">
        <v>37.8</v>
      </c>
      <c r="Y381" s="7">
        <v>53.39</v>
      </c>
      <c r="Z381" s="7">
        <v>58.0</v>
      </c>
      <c r="AA381" s="7">
        <v>38.73</v>
      </c>
      <c r="AB381" s="7">
        <v>160.49</v>
      </c>
      <c r="AC381" s="7">
        <v>53.5</v>
      </c>
      <c r="AD381" s="7">
        <v>30.0</v>
      </c>
      <c r="AE381" s="7">
        <v>40.01</v>
      </c>
      <c r="AF381" s="7">
        <v>37.41</v>
      </c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>
      <c r="A387" s="2" t="s">
        <v>2</v>
      </c>
      <c r="B387" s="2">
        <v>1654.65</v>
      </c>
    </row>
    <row r="388" ht="15.75" customHeight="1"/>
    <row r="389" ht="15.75" customHeight="1">
      <c r="A389" s="2" t="s">
        <v>8</v>
      </c>
    </row>
    <row r="390" ht="15.75" customHeight="1">
      <c r="A390" s="2" t="s">
        <v>0</v>
      </c>
      <c r="B390" s="3">
        <v>59.0</v>
      </c>
      <c r="C390" s="3">
        <v>56.68</v>
      </c>
      <c r="D390" s="3">
        <v>113.33</v>
      </c>
      <c r="E390" s="3">
        <v>83.25</v>
      </c>
      <c r="F390" s="3">
        <v>65.9</v>
      </c>
      <c r="G390" s="3">
        <v>20.0</v>
      </c>
      <c r="H390" s="3">
        <v>61.5</v>
      </c>
      <c r="I390" s="3">
        <v>86.0</v>
      </c>
      <c r="J390" s="3">
        <v>20.88</v>
      </c>
      <c r="K390" s="3">
        <v>38.73</v>
      </c>
      <c r="L390" s="3">
        <v>56.9</v>
      </c>
      <c r="M390" s="3">
        <v>37.5</v>
      </c>
      <c r="N390" s="3">
        <v>136.29</v>
      </c>
      <c r="O390" s="3">
        <v>140.3</v>
      </c>
      <c r="P390" s="3">
        <v>20.0</v>
      </c>
      <c r="Q390" s="3">
        <v>18.0</v>
      </c>
      <c r="R390" s="3">
        <v>45.0</v>
      </c>
      <c r="S390" s="3">
        <v>21.5</v>
      </c>
      <c r="T390" s="3">
        <v>73.0</v>
      </c>
      <c r="U390" s="3">
        <v>40.0</v>
      </c>
      <c r="V390" s="3">
        <v>41.0</v>
      </c>
      <c r="W390" s="3">
        <v>39.9</v>
      </c>
      <c r="X390" s="3">
        <v>36.7</v>
      </c>
      <c r="Y390" s="3">
        <v>58.8</v>
      </c>
      <c r="Z390" s="3">
        <v>46.5</v>
      </c>
      <c r="AA390" s="3">
        <v>35.0</v>
      </c>
      <c r="AB390" s="3">
        <v>87.0</v>
      </c>
      <c r="AC390" s="3">
        <v>30.0</v>
      </c>
      <c r="AD390" s="3">
        <v>33.25</v>
      </c>
      <c r="AE390" s="3">
        <v>48.8</v>
      </c>
      <c r="AF390" s="3">
        <v>20.4</v>
      </c>
      <c r="AG390" s="3">
        <v>20.4</v>
      </c>
      <c r="AH390" s="3">
        <v>53.29</v>
      </c>
      <c r="AI390" s="3">
        <v>37.2</v>
      </c>
      <c r="AJ390" s="3">
        <v>87.43</v>
      </c>
      <c r="AK390" s="3">
        <v>21.79</v>
      </c>
      <c r="AL390" s="3">
        <v>40.0</v>
      </c>
      <c r="AM390" s="3">
        <v>21.75</v>
      </c>
      <c r="AN390" s="3">
        <v>74.44</v>
      </c>
      <c r="AO390" s="3">
        <v>37.0</v>
      </c>
      <c r="AP390" s="3">
        <v>39.33</v>
      </c>
      <c r="AQ390" s="3">
        <v>66.0</v>
      </c>
      <c r="AR390" s="3">
        <v>45.84</v>
      </c>
      <c r="AS390" s="3">
        <v>38.93</v>
      </c>
      <c r="AT390" s="3">
        <v>30.0</v>
      </c>
      <c r="AU390" s="3">
        <v>61.8</v>
      </c>
      <c r="AV390" s="3">
        <v>42.5</v>
      </c>
    </row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>
      <c r="A396" s="2" t="s">
        <v>2</v>
      </c>
      <c r="B396" s="2">
        <v>2388.81</v>
      </c>
    </row>
    <row r="397" ht="15.75" customHeight="1"/>
    <row r="398" ht="15.75" customHeight="1">
      <c r="A398" s="2" t="s">
        <v>9</v>
      </c>
    </row>
    <row r="399" ht="15.75" customHeight="1">
      <c r="A399" s="2" t="s">
        <v>0</v>
      </c>
      <c r="B399" s="3">
        <v>59.0</v>
      </c>
      <c r="C399" s="3">
        <v>83.25</v>
      </c>
      <c r="D399" s="3">
        <v>38.73</v>
      </c>
      <c r="E399" s="3">
        <v>37.5</v>
      </c>
      <c r="F399" s="3">
        <v>42.5</v>
      </c>
      <c r="G399" s="3">
        <v>74.97</v>
      </c>
      <c r="H399" s="3">
        <v>109.8</v>
      </c>
      <c r="I399" s="3">
        <v>60.0</v>
      </c>
      <c r="J399" s="3">
        <v>34.74</v>
      </c>
      <c r="K399" s="3">
        <v>83.9</v>
      </c>
      <c r="L399" s="3">
        <v>19.5</v>
      </c>
      <c r="M399" s="3">
        <v>26.0</v>
      </c>
      <c r="N399" s="3">
        <v>18.0</v>
      </c>
      <c r="O399" s="3">
        <v>35.0</v>
      </c>
      <c r="P399" s="3">
        <v>91.0</v>
      </c>
      <c r="Q399" s="3">
        <v>50.0</v>
      </c>
      <c r="R399" s="3">
        <v>13.0</v>
      </c>
      <c r="S399" s="3">
        <v>2.0</v>
      </c>
      <c r="T399" s="3">
        <v>35.0</v>
      </c>
      <c r="U399" s="3">
        <v>32.8</v>
      </c>
      <c r="V399" s="3">
        <v>32.0</v>
      </c>
      <c r="W399" s="3">
        <v>20.0</v>
      </c>
      <c r="X399" s="3">
        <v>20.75</v>
      </c>
      <c r="Y399" s="3">
        <v>25.9</v>
      </c>
      <c r="Z399" s="3">
        <v>7.0</v>
      </c>
      <c r="AA399" s="3">
        <v>59.8</v>
      </c>
      <c r="AB399" s="3">
        <v>35.9</v>
      </c>
      <c r="AC399" s="3">
        <v>20.0</v>
      </c>
      <c r="AD399" s="3">
        <v>72.4</v>
      </c>
      <c r="AE399" s="3">
        <v>39.5</v>
      </c>
      <c r="AF399" s="3">
        <v>40.0</v>
      </c>
      <c r="AG399" s="3">
        <v>10.25</v>
      </c>
      <c r="AH399" s="3">
        <v>54.0</v>
      </c>
      <c r="AI399" s="3">
        <v>90.38</v>
      </c>
      <c r="AJ399" s="3">
        <v>47.89</v>
      </c>
      <c r="AK399" s="3">
        <v>36.0</v>
      </c>
      <c r="AL399" s="3">
        <v>41.0</v>
      </c>
      <c r="AM399" s="3">
        <v>80.0</v>
      </c>
      <c r="AN399" s="3">
        <v>29.0</v>
      </c>
      <c r="AO399" s="3">
        <v>54.0</v>
      </c>
      <c r="AP399" s="3">
        <v>36.86</v>
      </c>
      <c r="AQ399" s="3">
        <v>61.42</v>
      </c>
      <c r="AR399" s="3">
        <v>36.7</v>
      </c>
      <c r="AS399" s="3">
        <v>29.85</v>
      </c>
      <c r="AT399" s="3">
        <v>167.2</v>
      </c>
      <c r="AU399" s="3">
        <v>40.84</v>
      </c>
      <c r="AV399" s="3">
        <v>46.0</v>
      </c>
      <c r="AW399" s="3">
        <v>32.0</v>
      </c>
      <c r="AX399" s="3">
        <v>32.0</v>
      </c>
    </row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>
      <c r="A405" s="2" t="s">
        <v>2</v>
      </c>
      <c r="B405" s="2">
        <v>2245.33</v>
      </c>
    </row>
    <row r="406" ht="15.75" customHeight="1"/>
    <row r="407" ht="15.75" customHeight="1">
      <c r="A407" s="2" t="s">
        <v>66</v>
      </c>
    </row>
    <row r="408" ht="15.75" customHeight="1">
      <c r="A408" s="2" t="s">
        <v>0</v>
      </c>
      <c r="B408" s="3">
        <v>59.0</v>
      </c>
      <c r="C408" s="3">
        <v>83.25</v>
      </c>
      <c r="D408" s="3">
        <v>38.73</v>
      </c>
      <c r="E408" s="3">
        <v>42.5</v>
      </c>
      <c r="F408" s="3">
        <v>20.75</v>
      </c>
      <c r="G408" s="3">
        <v>94.0</v>
      </c>
      <c r="H408" s="3">
        <v>36.0</v>
      </c>
      <c r="I408" s="3">
        <v>30.5</v>
      </c>
      <c r="J408" s="3">
        <v>11.0</v>
      </c>
      <c r="K408" s="3">
        <v>34.0</v>
      </c>
      <c r="L408" s="3">
        <v>71.8</v>
      </c>
      <c r="M408" s="3">
        <v>35.01</v>
      </c>
      <c r="N408" s="3">
        <v>44.75</v>
      </c>
      <c r="O408" s="3">
        <v>19.9</v>
      </c>
      <c r="P408" s="3">
        <v>72.0</v>
      </c>
      <c r="Q408" s="3">
        <v>18.0</v>
      </c>
      <c r="R408" s="3">
        <v>77.5</v>
      </c>
      <c r="S408" s="3">
        <v>58.0</v>
      </c>
      <c r="T408" s="3">
        <v>47.3</v>
      </c>
      <c r="U408" s="3">
        <v>93.6</v>
      </c>
      <c r="V408" s="3">
        <v>36.83</v>
      </c>
      <c r="W408" s="3">
        <v>24.0</v>
      </c>
      <c r="X408" s="3">
        <v>149.7</v>
      </c>
      <c r="Y408" s="3">
        <v>46.0</v>
      </c>
      <c r="Z408" s="3">
        <v>92.07</v>
      </c>
      <c r="AA408" s="3">
        <v>81.4</v>
      </c>
      <c r="AB408" s="3">
        <v>49.0</v>
      </c>
      <c r="AC408" s="3">
        <v>14.07</v>
      </c>
      <c r="AD408" s="3">
        <v>30.0</v>
      </c>
      <c r="AE408" s="3">
        <v>20.0</v>
      </c>
      <c r="AF408" s="3">
        <v>76.0</v>
      </c>
      <c r="AG408" s="3">
        <v>87.0</v>
      </c>
      <c r="AH408" s="3">
        <v>65.78</v>
      </c>
      <c r="AI408" s="3">
        <v>60.0</v>
      </c>
      <c r="AJ408" s="3">
        <v>95.8</v>
      </c>
      <c r="AK408" s="3">
        <v>24.0</v>
      </c>
      <c r="AL408" s="3">
        <v>21.0</v>
      </c>
      <c r="AM408" s="3">
        <v>21.35</v>
      </c>
      <c r="AN408" s="3">
        <v>69.0</v>
      </c>
      <c r="AO408" s="3">
        <v>33.0</v>
      </c>
      <c r="AP408" s="3">
        <v>96.0</v>
      </c>
      <c r="AQ408" s="3">
        <v>32.2</v>
      </c>
      <c r="AR408" s="3">
        <v>34.99</v>
      </c>
      <c r="AS408" s="3">
        <v>58.7</v>
      </c>
      <c r="AT408" s="3">
        <v>39.26</v>
      </c>
      <c r="AU408" s="3">
        <v>115.0</v>
      </c>
    </row>
    <row r="409" ht="15.75" customHeight="1"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</row>
    <row r="410" ht="15.75" customHeight="1"/>
    <row r="411" ht="15.75" customHeight="1"/>
    <row r="412" ht="15.75" customHeight="1"/>
    <row r="413" ht="15.75" customHeight="1"/>
    <row r="414" ht="15.75" customHeight="1">
      <c r="A414" s="2" t="s">
        <v>2</v>
      </c>
      <c r="B414" s="2">
        <v>2459.74</v>
      </c>
    </row>
    <row r="415" ht="15.75" customHeight="1"/>
    <row r="416" ht="15.75" customHeight="1">
      <c r="A416" s="2" t="s">
        <v>67</v>
      </c>
    </row>
    <row r="417" ht="15.75" customHeight="1">
      <c r="A417" s="2" t="s">
        <v>0</v>
      </c>
      <c r="B417" s="9">
        <v>59.0</v>
      </c>
      <c r="C417" s="9">
        <v>38.73</v>
      </c>
      <c r="D417" s="9">
        <v>42.5</v>
      </c>
      <c r="E417" s="9">
        <v>20.75</v>
      </c>
      <c r="F417" s="9">
        <v>92.07</v>
      </c>
      <c r="G417" s="9">
        <v>115.0</v>
      </c>
      <c r="H417" s="9">
        <v>40.0</v>
      </c>
      <c r="I417" s="9">
        <v>51.51</v>
      </c>
      <c r="J417" s="9">
        <v>36.3</v>
      </c>
      <c r="K417" s="9">
        <v>70.36</v>
      </c>
      <c r="L417" s="9">
        <v>28.0</v>
      </c>
      <c r="M417" s="9">
        <v>53.6</v>
      </c>
      <c r="N417" s="9">
        <v>44.66</v>
      </c>
      <c r="O417" s="9">
        <v>36.0</v>
      </c>
      <c r="P417" s="9">
        <v>50.0</v>
      </c>
      <c r="Q417" s="9">
        <v>18.0</v>
      </c>
      <c r="R417" s="9">
        <v>67.0</v>
      </c>
      <c r="S417" s="9">
        <v>35.0</v>
      </c>
      <c r="T417" s="9">
        <v>18.0</v>
      </c>
      <c r="U417" s="9">
        <v>36.0</v>
      </c>
      <c r="V417" s="9">
        <v>30.0</v>
      </c>
      <c r="W417" s="9">
        <v>70.0</v>
      </c>
      <c r="X417" s="9">
        <v>32.2</v>
      </c>
      <c r="Y417" s="9">
        <v>46.0</v>
      </c>
      <c r="Z417" s="9">
        <v>79.4</v>
      </c>
      <c r="AA417" s="9">
        <v>137.28</v>
      </c>
      <c r="AB417" s="9">
        <v>41.5</v>
      </c>
      <c r="AC417" s="9">
        <v>32.0</v>
      </c>
      <c r="AD417" s="9">
        <v>58.0</v>
      </c>
      <c r="AE417" s="9">
        <v>93.0</v>
      </c>
      <c r="AF417" s="9">
        <v>168.61</v>
      </c>
      <c r="AG417" s="9">
        <v>57.38</v>
      </c>
      <c r="AH417" s="9">
        <v>18.65</v>
      </c>
      <c r="AI417" s="9">
        <v>13.5</v>
      </c>
      <c r="AJ417" s="9">
        <v>23.49</v>
      </c>
      <c r="AK417" s="9">
        <v>21.5</v>
      </c>
      <c r="AL417" s="9">
        <v>18.0</v>
      </c>
      <c r="AM417" s="9">
        <v>17.95</v>
      </c>
      <c r="AN417" s="9">
        <v>9.38</v>
      </c>
      <c r="AO417" s="9">
        <v>6.5</v>
      </c>
      <c r="AP417" s="9">
        <v>6.03</v>
      </c>
      <c r="AQ417" s="9">
        <v>167.2</v>
      </c>
      <c r="AR417" s="9"/>
    </row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>
      <c r="A423" s="2" t="s">
        <v>2</v>
      </c>
      <c r="B423" s="2">
        <v>2100.05</v>
      </c>
    </row>
    <row r="424" ht="15.75" customHeight="1"/>
    <row r="425" ht="15.75" customHeight="1">
      <c r="A425" s="2" t="s">
        <v>68</v>
      </c>
    </row>
    <row r="426" ht="15.75" customHeight="1">
      <c r="A426" s="2" t="s">
        <v>0</v>
      </c>
      <c r="B426" s="9">
        <v>59.0</v>
      </c>
      <c r="C426" s="9">
        <v>42.5</v>
      </c>
      <c r="D426" s="9">
        <v>20.75</v>
      </c>
      <c r="E426" s="9">
        <v>92.07</v>
      </c>
      <c r="F426" s="9">
        <v>78.59</v>
      </c>
      <c r="G426" s="9">
        <v>69.7</v>
      </c>
      <c r="H426" s="9">
        <v>50.0</v>
      </c>
      <c r="I426" s="9">
        <v>12.0</v>
      </c>
      <c r="J426" s="9">
        <v>120.0</v>
      </c>
      <c r="K426" s="9">
        <v>76.6</v>
      </c>
      <c r="L426" s="9">
        <v>41.5</v>
      </c>
      <c r="M426" s="9">
        <v>123.3</v>
      </c>
      <c r="N426" s="9">
        <v>79.4</v>
      </c>
      <c r="O426" s="9">
        <v>7.0</v>
      </c>
      <c r="P426" s="9">
        <v>24.3</v>
      </c>
      <c r="Q426" s="9">
        <v>16.97</v>
      </c>
      <c r="R426" s="9">
        <v>37.0</v>
      </c>
      <c r="S426" s="9">
        <v>99.0</v>
      </c>
      <c r="T426" s="9">
        <v>2.0</v>
      </c>
      <c r="U426" s="9">
        <v>18.0</v>
      </c>
      <c r="V426" s="9">
        <v>74.0</v>
      </c>
      <c r="W426" s="9">
        <v>34.15</v>
      </c>
      <c r="X426" s="9">
        <v>24.0</v>
      </c>
      <c r="Y426" s="9">
        <v>39.65</v>
      </c>
      <c r="Z426" s="9">
        <v>3.0</v>
      </c>
      <c r="AA426" s="9">
        <v>10.25</v>
      </c>
      <c r="AB426" s="9">
        <v>69.26</v>
      </c>
      <c r="AC426" s="9">
        <v>39.0</v>
      </c>
      <c r="AD426" s="9">
        <v>22.38</v>
      </c>
      <c r="AE426" s="9">
        <v>17.98</v>
      </c>
      <c r="AF426" s="9">
        <v>133.5</v>
      </c>
      <c r="AG426" s="9">
        <v>22.0</v>
      </c>
      <c r="AH426" s="9">
        <v>56.0</v>
      </c>
      <c r="AI426" s="9">
        <v>12.0</v>
      </c>
      <c r="AJ426" s="9">
        <v>39.5</v>
      </c>
      <c r="AK426" s="9">
        <v>29.98</v>
      </c>
      <c r="AL426" s="9">
        <v>20.88</v>
      </c>
      <c r="AM426" s="9">
        <v>41.4</v>
      </c>
      <c r="AN426" s="9">
        <v>12.0</v>
      </c>
      <c r="AO426" s="9">
        <v>23.29</v>
      </c>
      <c r="AP426" s="9">
        <v>50.0</v>
      </c>
    </row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>
      <c r="A432" s="2" t="s">
        <v>2</v>
      </c>
      <c r="B432" s="2">
        <v>1843.9</v>
      </c>
    </row>
    <row r="433" ht="15.75" customHeight="1"/>
    <row r="434" ht="15.75" customHeight="1">
      <c r="A434" s="2" t="s">
        <v>69</v>
      </c>
    </row>
    <row r="435" ht="15.75" customHeight="1">
      <c r="A435" s="2" t="s">
        <v>0</v>
      </c>
      <c r="B435" s="7">
        <v>59.0</v>
      </c>
      <c r="C435" s="7">
        <v>42.5</v>
      </c>
      <c r="D435" s="7">
        <v>20.75</v>
      </c>
      <c r="E435" s="7">
        <v>50.0</v>
      </c>
      <c r="F435" s="7">
        <v>16.97</v>
      </c>
      <c r="G435" s="7">
        <v>45.35</v>
      </c>
      <c r="H435" s="7">
        <v>145.8</v>
      </c>
      <c r="I435" s="7">
        <v>132.68</v>
      </c>
      <c r="J435" s="7">
        <v>71.8</v>
      </c>
      <c r="K435" s="7">
        <v>100.0</v>
      </c>
      <c r="L435" s="7">
        <v>27.6</v>
      </c>
      <c r="M435" s="7">
        <v>29.98</v>
      </c>
      <c r="N435" s="7">
        <v>20.88</v>
      </c>
      <c r="O435" s="7">
        <v>51.0</v>
      </c>
      <c r="P435" s="7">
        <v>22.0</v>
      </c>
      <c r="Q435" s="7">
        <v>21.0</v>
      </c>
      <c r="R435" s="7">
        <v>20.0</v>
      </c>
      <c r="S435" s="7">
        <v>7.96</v>
      </c>
      <c r="T435" s="7">
        <v>87.0</v>
      </c>
      <c r="U435" s="7">
        <v>124.3</v>
      </c>
      <c r="V435" s="7">
        <v>90.2</v>
      </c>
      <c r="W435" s="7">
        <v>46.5</v>
      </c>
      <c r="X435" s="7">
        <v>102.0</v>
      </c>
      <c r="Y435" s="7">
        <v>28.75</v>
      </c>
      <c r="Z435" s="7">
        <v>38.5</v>
      </c>
      <c r="AA435" s="7">
        <v>32.0</v>
      </c>
      <c r="AB435" s="7">
        <v>23.0</v>
      </c>
      <c r="AC435" s="7">
        <v>36.0</v>
      </c>
      <c r="AD435" s="7">
        <v>68.67</v>
      </c>
      <c r="AE435" s="7">
        <v>34.81</v>
      </c>
      <c r="AF435" s="7">
        <v>87.0</v>
      </c>
      <c r="AG435" s="7">
        <v>54.9</v>
      </c>
      <c r="AH435" s="7">
        <v>718.01</v>
      </c>
      <c r="AI435" s="7">
        <v>20.0</v>
      </c>
      <c r="AJ435" s="7">
        <v>52.0</v>
      </c>
      <c r="AK435" s="7">
        <v>45.84</v>
      </c>
      <c r="AL435" s="7">
        <v>41.8</v>
      </c>
    </row>
    <row r="436" ht="15.75" customHeight="1">
      <c r="A436" s="2" t="s">
        <v>70</v>
      </c>
      <c r="B436" s="7">
        <v>40.0</v>
      </c>
    </row>
    <row r="437" ht="15.75" customHeight="1"/>
    <row r="438" ht="15.75" customHeight="1"/>
    <row r="439" ht="15.75" customHeight="1"/>
    <row r="440" ht="15.75" customHeight="1"/>
    <row r="441" ht="15.75" customHeight="1">
      <c r="A441" s="2" t="s">
        <v>2</v>
      </c>
      <c r="B441" s="2">
        <v>2656.55</v>
      </c>
    </row>
    <row r="442" ht="15.75" customHeight="1"/>
    <row r="443" ht="15.75" customHeight="1">
      <c r="A443" s="2" t="s">
        <v>71</v>
      </c>
    </row>
    <row r="444" ht="15.75" customHeight="1">
      <c r="A444" s="2" t="s">
        <v>0</v>
      </c>
      <c r="B444" s="3">
        <v>59.0</v>
      </c>
      <c r="C444" s="3">
        <v>42.5</v>
      </c>
      <c r="D444" s="3">
        <v>20.75</v>
      </c>
      <c r="E444" s="3">
        <v>50.0</v>
      </c>
      <c r="F444" s="3">
        <v>16.97</v>
      </c>
      <c r="G444" s="3">
        <v>29.98</v>
      </c>
      <c r="H444" s="3">
        <v>20.88</v>
      </c>
      <c r="I444" s="3">
        <v>718.01</v>
      </c>
      <c r="J444" s="3">
        <v>41.08</v>
      </c>
      <c r="K444" s="3">
        <v>35.72</v>
      </c>
      <c r="L444" s="3">
        <v>91.3</v>
      </c>
      <c r="M444" s="3">
        <v>96.0</v>
      </c>
      <c r="N444" s="3">
        <v>98.68</v>
      </c>
      <c r="O444" s="3">
        <v>18.0</v>
      </c>
      <c r="P444" s="3">
        <v>121.11</v>
      </c>
      <c r="Q444" s="3">
        <v>60.0</v>
      </c>
      <c r="R444" s="3">
        <v>30.0</v>
      </c>
      <c r="S444" s="3">
        <v>47.8</v>
      </c>
      <c r="T444" s="3">
        <v>40.0</v>
      </c>
      <c r="U444" s="3">
        <v>45.75</v>
      </c>
      <c r="V444" s="3">
        <v>95.3</v>
      </c>
      <c r="W444" s="3">
        <v>15.0</v>
      </c>
      <c r="X444" s="3">
        <v>78.0</v>
      </c>
      <c r="Y444" s="3">
        <v>40.0</v>
      </c>
      <c r="Z444" s="3">
        <v>19.65</v>
      </c>
      <c r="AA444" s="3">
        <v>60.3</v>
      </c>
      <c r="AB444" s="3">
        <v>35.0</v>
      </c>
      <c r="AC444" s="3">
        <v>32.9</v>
      </c>
      <c r="AD444" s="3">
        <v>53.5</v>
      </c>
      <c r="AE444" s="3">
        <v>38.0</v>
      </c>
      <c r="AF444" s="3">
        <v>131.0</v>
      </c>
      <c r="AG444" s="3">
        <v>97.9</v>
      </c>
      <c r="AH444" s="3">
        <v>67.0</v>
      </c>
      <c r="AI444" s="3">
        <v>31.12</v>
      </c>
      <c r="AJ444" s="3">
        <v>37.03</v>
      </c>
      <c r="AK444" s="3">
        <v>54.9</v>
      </c>
      <c r="AL444" s="3">
        <v>38.0</v>
      </c>
      <c r="AM444" s="3">
        <v>15.31</v>
      </c>
    </row>
    <row r="445" ht="15.75" customHeight="1">
      <c r="A445" s="2" t="s">
        <v>72</v>
      </c>
      <c r="B445" s="3">
        <v>212.0</v>
      </c>
    </row>
    <row r="446" ht="15.75" customHeight="1"/>
    <row r="447" ht="15.75" customHeight="1"/>
    <row r="448" ht="15.75" customHeight="1"/>
    <row r="449" ht="15.75" customHeight="1"/>
    <row r="450" ht="15.75" customHeight="1">
      <c r="A450" s="2" t="s">
        <v>2</v>
      </c>
      <c r="B450" s="2">
        <v>2835.44</v>
      </c>
    </row>
    <row r="451" ht="15.75" customHeight="1"/>
    <row r="452" ht="15.75" customHeight="1">
      <c r="A452" s="2" t="s">
        <v>73</v>
      </c>
    </row>
    <row r="453" ht="15.75" customHeight="1">
      <c r="A453" s="2" t="s">
        <v>0</v>
      </c>
      <c r="B453" s="3">
        <v>42.5</v>
      </c>
      <c r="C453" s="3">
        <v>20.75</v>
      </c>
      <c r="D453" s="3">
        <v>50.0</v>
      </c>
      <c r="E453" s="3">
        <v>16.97</v>
      </c>
      <c r="F453" s="3">
        <v>29.98</v>
      </c>
      <c r="G453" s="3">
        <v>20.88</v>
      </c>
      <c r="H453" s="3">
        <v>718.01</v>
      </c>
      <c r="I453" s="3">
        <v>41.08</v>
      </c>
      <c r="J453" s="3">
        <v>54.9</v>
      </c>
      <c r="K453" s="3">
        <v>56.3</v>
      </c>
      <c r="L453" s="3">
        <v>25.5</v>
      </c>
      <c r="M453" s="3">
        <v>127.0</v>
      </c>
      <c r="N453" s="3">
        <v>10.5</v>
      </c>
      <c r="O453" s="3">
        <v>11.0</v>
      </c>
      <c r="P453" s="3">
        <v>17.13</v>
      </c>
      <c r="Q453" s="3">
        <v>21.0</v>
      </c>
      <c r="R453" s="3">
        <v>35.0</v>
      </c>
      <c r="S453" s="3">
        <v>148.34</v>
      </c>
      <c r="T453" s="3">
        <v>17.0</v>
      </c>
      <c r="U453" s="3">
        <v>44.9</v>
      </c>
      <c r="V453" s="3">
        <v>36.5</v>
      </c>
      <c r="W453" s="3">
        <v>47.97</v>
      </c>
      <c r="X453" s="3">
        <v>135.75</v>
      </c>
      <c r="Y453" s="3">
        <v>35.07</v>
      </c>
      <c r="Z453" s="3">
        <v>21.08</v>
      </c>
      <c r="AA453" s="3">
        <v>108.6</v>
      </c>
      <c r="AB453" s="3">
        <v>92.5</v>
      </c>
      <c r="AC453" s="3">
        <v>58.89</v>
      </c>
      <c r="AD453" s="3">
        <v>23.5</v>
      </c>
      <c r="AE453" s="3">
        <v>93.0</v>
      </c>
      <c r="AF453" s="3">
        <v>43.64</v>
      </c>
      <c r="AG453" s="3">
        <v>14.88</v>
      </c>
      <c r="AH453" s="3">
        <v>45.0</v>
      </c>
      <c r="AI453" s="3">
        <v>12.0</v>
      </c>
      <c r="AJ453" s="3">
        <v>20.0</v>
      </c>
      <c r="AK453" s="3">
        <v>26.0</v>
      </c>
      <c r="AL453" s="3">
        <v>33.75</v>
      </c>
      <c r="AM453" s="3">
        <v>3.0</v>
      </c>
      <c r="AN453" s="3">
        <v>29.0</v>
      </c>
      <c r="AO453" s="3">
        <v>18.45</v>
      </c>
      <c r="AP453" s="3">
        <v>172.82</v>
      </c>
      <c r="AQ453" s="3">
        <v>57.9</v>
      </c>
      <c r="AR453" s="3">
        <v>2.5</v>
      </c>
      <c r="AS453" s="3">
        <v>38.27</v>
      </c>
      <c r="AT453" s="3">
        <v>27.08</v>
      </c>
      <c r="AU453" s="3">
        <v>36.5</v>
      </c>
      <c r="AV453" s="3">
        <v>111.8</v>
      </c>
      <c r="AW453" s="3">
        <v>58.46</v>
      </c>
      <c r="AX453" s="3">
        <v>3.0</v>
      </c>
      <c r="AY453" s="3">
        <v>92.5</v>
      </c>
      <c r="AZ453" s="3">
        <v>23.0</v>
      </c>
    </row>
    <row r="454" ht="15.75" customHeight="1"/>
    <row r="455" ht="15.75" customHeight="1"/>
    <row r="456" ht="15.75" customHeight="1"/>
    <row r="457" ht="15.75" customHeight="1"/>
    <row r="458" ht="15.75" customHeight="1">
      <c r="A458" s="2">
        <v>3031.15</v>
      </c>
    </row>
    <row r="459" ht="15.75" customHeight="1"/>
    <row r="460" ht="15.75" customHeight="1"/>
    <row r="461" ht="15.75" customHeight="1">
      <c r="A461" s="2" t="s">
        <v>16</v>
      </c>
    </row>
    <row r="462" ht="15.75" customHeight="1">
      <c r="A462" s="2" t="s">
        <v>0</v>
      </c>
      <c r="B462" s="3">
        <v>42.5</v>
      </c>
      <c r="C462" s="3">
        <v>20.75</v>
      </c>
      <c r="D462" s="3">
        <v>50.0</v>
      </c>
      <c r="E462" s="3">
        <v>16.97</v>
      </c>
      <c r="F462" s="3">
        <v>29.98</v>
      </c>
      <c r="G462" s="3">
        <v>20.88</v>
      </c>
      <c r="H462" s="3">
        <v>718.01</v>
      </c>
      <c r="I462" s="3">
        <v>41.08</v>
      </c>
      <c r="J462" s="3">
        <v>54.9</v>
      </c>
      <c r="K462" s="3">
        <v>88.0</v>
      </c>
      <c r="L462" s="3">
        <v>97.8</v>
      </c>
      <c r="M462" s="3">
        <v>93.0</v>
      </c>
      <c r="N462" s="3">
        <v>36.57</v>
      </c>
      <c r="O462" s="3">
        <v>46.85</v>
      </c>
      <c r="P462" s="3">
        <v>40.0</v>
      </c>
      <c r="Q462" s="3">
        <v>69.0</v>
      </c>
      <c r="R462" s="3">
        <v>43.74</v>
      </c>
      <c r="S462" s="3">
        <v>77.3</v>
      </c>
      <c r="T462" s="3">
        <v>36.0</v>
      </c>
      <c r="U462" s="3">
        <v>83.95</v>
      </c>
      <c r="V462" s="3">
        <v>75.0</v>
      </c>
      <c r="W462" s="3">
        <v>5.0</v>
      </c>
      <c r="X462" s="3">
        <v>65.4</v>
      </c>
      <c r="Y462" s="3">
        <v>37.8</v>
      </c>
      <c r="Z462" s="3">
        <v>35.0</v>
      </c>
      <c r="AA462" s="3">
        <v>21.2</v>
      </c>
      <c r="AB462" s="3">
        <v>24.0</v>
      </c>
      <c r="AC462" s="3">
        <v>59.98</v>
      </c>
      <c r="AD462" s="3">
        <v>49.0</v>
      </c>
      <c r="AE462" s="3">
        <v>122.7</v>
      </c>
      <c r="AF462" s="3">
        <v>133.0</v>
      </c>
      <c r="AG462" s="3">
        <v>59.05</v>
      </c>
      <c r="AH462" s="3">
        <v>45.93</v>
      </c>
      <c r="AI462" s="3">
        <v>120.45</v>
      </c>
      <c r="AJ462" s="3">
        <v>13.0</v>
      </c>
      <c r="AK462" s="3">
        <v>20.0</v>
      </c>
      <c r="AL462" s="3">
        <v>14.0</v>
      </c>
      <c r="AM462" s="3">
        <v>36.0</v>
      </c>
      <c r="AN462" s="3">
        <v>75.4</v>
      </c>
      <c r="AO462" s="3">
        <v>31.45</v>
      </c>
      <c r="AP462" s="3">
        <v>123.5</v>
      </c>
      <c r="AQ462" s="3">
        <v>8.5</v>
      </c>
      <c r="AR462" s="3">
        <v>29.76</v>
      </c>
      <c r="AS462" s="3">
        <v>36.0</v>
      </c>
      <c r="AT462" s="3">
        <v>10.0</v>
      </c>
      <c r="AU462" s="3">
        <v>10.0</v>
      </c>
      <c r="AV462" s="3">
        <v>5.0</v>
      </c>
      <c r="AW462" s="3">
        <v>3.5</v>
      </c>
      <c r="AX462" s="3">
        <v>5.5</v>
      </c>
      <c r="AY462" s="3">
        <v>23.0</v>
      </c>
      <c r="AZ462" s="3">
        <v>66.16</v>
      </c>
      <c r="BA462" s="3">
        <v>46.31</v>
      </c>
      <c r="BB462" s="3">
        <v>30.5</v>
      </c>
      <c r="BC462" s="3">
        <v>125.0</v>
      </c>
      <c r="BD462" s="3">
        <v>57.47</v>
      </c>
    </row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>
      <c r="A468" s="2" t="s">
        <v>2</v>
      </c>
      <c r="B468" s="2">
        <v>3330.84</v>
      </c>
    </row>
    <row r="469" ht="15.75" customHeight="1"/>
    <row r="470" ht="15.75" customHeight="1">
      <c r="A470" s="2" t="s">
        <v>17</v>
      </c>
    </row>
    <row r="471" ht="15.75" customHeight="1">
      <c r="A471" s="2" t="s">
        <v>0</v>
      </c>
      <c r="B471" s="3">
        <v>42.5</v>
      </c>
      <c r="C471" s="3">
        <v>20.75</v>
      </c>
      <c r="D471" s="3">
        <v>29.98</v>
      </c>
      <c r="E471" s="3">
        <v>20.88</v>
      </c>
      <c r="F471" s="3">
        <v>718.01</v>
      </c>
      <c r="G471" s="3">
        <v>41.8</v>
      </c>
      <c r="H471" s="3">
        <v>54.9</v>
      </c>
      <c r="I471" s="3">
        <v>59.98</v>
      </c>
      <c r="J471" s="3">
        <v>57.47</v>
      </c>
      <c r="K471" s="3">
        <v>42.0</v>
      </c>
      <c r="L471" s="3">
        <v>63.0</v>
      </c>
      <c r="M471" s="3">
        <v>20.0</v>
      </c>
      <c r="N471" s="3">
        <v>20.0</v>
      </c>
      <c r="O471" s="3">
        <v>20.0</v>
      </c>
      <c r="P471" s="3">
        <v>64.0</v>
      </c>
      <c r="Q471" s="3">
        <v>65.0</v>
      </c>
      <c r="R471" s="3">
        <v>41.5</v>
      </c>
      <c r="S471" s="3">
        <v>34.96</v>
      </c>
      <c r="T471" s="3">
        <v>42.9</v>
      </c>
      <c r="U471" s="3">
        <v>107.8</v>
      </c>
      <c r="V471" s="3">
        <v>41.0</v>
      </c>
      <c r="W471" s="3">
        <v>110.8</v>
      </c>
      <c r="X471" s="3">
        <v>36.0</v>
      </c>
      <c r="Y471" s="3">
        <v>97.7</v>
      </c>
      <c r="Z471" s="3">
        <v>31.32</v>
      </c>
      <c r="AA471" s="3">
        <v>35.0</v>
      </c>
      <c r="AB471" s="3">
        <v>24.0</v>
      </c>
      <c r="AC471" s="3">
        <v>16.0</v>
      </c>
      <c r="AD471" s="3">
        <v>30.33</v>
      </c>
      <c r="AE471" s="3">
        <v>330.0</v>
      </c>
      <c r="AF471" s="3">
        <v>35.0</v>
      </c>
      <c r="AG471" s="3">
        <v>33.0</v>
      </c>
      <c r="AH471" s="3">
        <v>53.8</v>
      </c>
      <c r="AI471" s="3">
        <v>185.46</v>
      </c>
      <c r="AJ471" s="3">
        <v>34.21</v>
      </c>
      <c r="AK471" s="3">
        <v>24.0</v>
      </c>
      <c r="AL471" s="3">
        <v>46.8</v>
      </c>
      <c r="AM471" s="3">
        <v>35.0</v>
      </c>
      <c r="AN471" s="3">
        <v>148.04</v>
      </c>
      <c r="AO471" s="3">
        <v>27.05</v>
      </c>
      <c r="AP471" s="3">
        <v>47.5</v>
      </c>
      <c r="AQ471" s="3">
        <v>23.0</v>
      </c>
      <c r="AR471" s="3">
        <v>20.0</v>
      </c>
      <c r="AS471" s="3">
        <v>29.0</v>
      </c>
      <c r="AT471" s="3">
        <v>28.29</v>
      </c>
      <c r="AU471" s="3">
        <v>75.26</v>
      </c>
      <c r="AV471" s="3">
        <v>92.5</v>
      </c>
      <c r="AW471" s="3">
        <v>57.0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>
      <c r="A477" s="2" t="s">
        <v>2</v>
      </c>
      <c r="B477" s="2">
        <v>3314.49</v>
      </c>
    </row>
    <row r="478" ht="15.75" customHeight="1"/>
    <row r="479" ht="15.75" customHeight="1">
      <c r="A479" s="2" t="s">
        <v>18</v>
      </c>
    </row>
    <row r="480" ht="15.75" customHeight="1">
      <c r="A480" s="2" t="s">
        <v>0</v>
      </c>
      <c r="B480" s="10">
        <v>20.75</v>
      </c>
      <c r="C480" s="10">
        <v>29.98</v>
      </c>
      <c r="D480" s="10">
        <v>20.88</v>
      </c>
      <c r="E480" s="10">
        <v>718.01</v>
      </c>
      <c r="F480" s="10">
        <v>41.08</v>
      </c>
      <c r="G480" s="10">
        <v>54.9</v>
      </c>
      <c r="H480" s="10">
        <v>59.98</v>
      </c>
      <c r="I480" s="10">
        <v>57.47</v>
      </c>
      <c r="J480" s="10">
        <v>28.29</v>
      </c>
      <c r="K480" s="10">
        <v>92.5</v>
      </c>
      <c r="L480" s="10">
        <v>48.0</v>
      </c>
      <c r="M480" s="10">
        <v>58.8</v>
      </c>
      <c r="N480" s="10">
        <v>139.5</v>
      </c>
      <c r="O480" s="10">
        <v>33.15</v>
      </c>
      <c r="P480" s="10">
        <v>44.0</v>
      </c>
      <c r="Q480" s="10">
        <v>48.6</v>
      </c>
      <c r="R480" s="10">
        <v>47.0</v>
      </c>
      <c r="S480" s="10">
        <v>17.0</v>
      </c>
      <c r="T480" s="10">
        <v>35.53</v>
      </c>
      <c r="U480" s="10">
        <v>33.02</v>
      </c>
      <c r="V480" s="10">
        <v>44.8</v>
      </c>
      <c r="W480" s="10">
        <v>18.73</v>
      </c>
      <c r="X480" s="10">
        <v>67.9</v>
      </c>
      <c r="Y480" s="10">
        <v>36.0</v>
      </c>
      <c r="Z480" s="10">
        <v>78.3</v>
      </c>
      <c r="AA480" s="10">
        <v>103.62</v>
      </c>
      <c r="AB480" s="10">
        <v>20.0</v>
      </c>
      <c r="AC480" s="10">
        <v>33.88</v>
      </c>
      <c r="AD480" s="10">
        <v>70.5</v>
      </c>
      <c r="AE480" s="10">
        <v>55.5</v>
      </c>
      <c r="AF480" s="10">
        <v>54.3</v>
      </c>
      <c r="AG480" s="10">
        <v>69.0</v>
      </c>
      <c r="AH480" s="10">
        <v>26.0</v>
      </c>
      <c r="AI480" s="10">
        <v>35.0</v>
      </c>
      <c r="AJ480" s="10">
        <v>36.0</v>
      </c>
      <c r="AK480" s="10">
        <v>29.33</v>
      </c>
      <c r="AL480" s="10">
        <v>54.9</v>
      </c>
      <c r="AM480" s="10">
        <v>25.0</v>
      </c>
      <c r="AN480" s="10">
        <v>2.75</v>
      </c>
      <c r="AO480" s="10">
        <v>40.9</v>
      </c>
      <c r="AP480" s="10">
        <v>8.0</v>
      </c>
      <c r="AQ480" s="10">
        <v>90.26</v>
      </c>
      <c r="AR480" s="10">
        <v>33.0</v>
      </c>
      <c r="AS480" s="10">
        <v>30.0</v>
      </c>
      <c r="AT480" s="10">
        <v>25.0</v>
      </c>
      <c r="AU480" s="10">
        <v>70.08</v>
      </c>
      <c r="AV480" s="10">
        <v>75.8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>
      <c r="A486" s="2" t="s">
        <v>2</v>
      </c>
      <c r="B486" s="2">
        <v>2862.99</v>
      </c>
    </row>
    <row r="487" ht="15.75" customHeight="1"/>
    <row r="488" ht="15.75" customHeight="1">
      <c r="A488" s="2" t="s">
        <v>19</v>
      </c>
      <c r="AV488" s="25"/>
      <c r="AW488" s="25"/>
      <c r="AX488" s="25"/>
      <c r="AY488" s="25"/>
      <c r="AZ488" s="25"/>
      <c r="BA488" s="25"/>
    </row>
    <row r="489" ht="15.75" customHeight="1">
      <c r="A489" s="2" t="s">
        <v>0</v>
      </c>
      <c r="B489" s="10">
        <v>20.75</v>
      </c>
      <c r="C489" s="10">
        <v>29.98</v>
      </c>
      <c r="D489" s="10">
        <v>20.88</v>
      </c>
      <c r="E489" s="10">
        <v>718.01</v>
      </c>
      <c r="F489" s="10">
        <v>41.08</v>
      </c>
      <c r="G489" s="10">
        <v>54.9</v>
      </c>
      <c r="H489" s="10">
        <v>57.47</v>
      </c>
      <c r="I489" s="10">
        <v>28.29</v>
      </c>
      <c r="J489" s="10">
        <v>92.5</v>
      </c>
      <c r="K489" s="10">
        <v>70.08</v>
      </c>
      <c r="L489" s="10">
        <v>75.8</v>
      </c>
      <c r="M489" s="10">
        <v>13.5</v>
      </c>
      <c r="N489" s="10">
        <v>113.79</v>
      </c>
      <c r="O489" s="10">
        <v>50.3</v>
      </c>
      <c r="P489" s="10">
        <v>57.0</v>
      </c>
      <c r="Q489" s="10">
        <v>117.59</v>
      </c>
      <c r="R489" s="10">
        <v>172.57</v>
      </c>
      <c r="S489" s="10">
        <v>89.5</v>
      </c>
      <c r="T489" s="10">
        <v>74.3</v>
      </c>
      <c r="U489" s="10">
        <v>193.05</v>
      </c>
      <c r="V489" s="10">
        <v>50.37</v>
      </c>
      <c r="W489" s="10">
        <v>45.42</v>
      </c>
      <c r="X489" s="7">
        <v>78.3</v>
      </c>
      <c r="Y489" s="7">
        <v>58.46</v>
      </c>
      <c r="Z489" s="7">
        <v>83.0</v>
      </c>
      <c r="AA489" s="7">
        <v>16.0</v>
      </c>
      <c r="AB489" s="7">
        <v>34.0</v>
      </c>
      <c r="AC489" s="7">
        <v>43.0</v>
      </c>
      <c r="AD489" s="7">
        <v>43.0</v>
      </c>
      <c r="AE489" s="7">
        <v>19.24</v>
      </c>
      <c r="AF489" s="7">
        <v>69.53</v>
      </c>
      <c r="AG489" s="7">
        <v>35.0</v>
      </c>
      <c r="AH489" s="7">
        <v>79.0</v>
      </c>
      <c r="AI489" s="7">
        <v>116.38</v>
      </c>
      <c r="AJ489" s="7">
        <v>42.0</v>
      </c>
      <c r="AK489" s="7">
        <v>32.71</v>
      </c>
      <c r="AL489" s="7">
        <v>25.0</v>
      </c>
      <c r="AM489" s="7">
        <v>32.65</v>
      </c>
      <c r="AN489" s="7">
        <v>5.0</v>
      </c>
      <c r="AO489" s="7">
        <v>155.76</v>
      </c>
      <c r="AP489" s="7">
        <v>36.0</v>
      </c>
      <c r="AQ489" s="7">
        <v>99.25</v>
      </c>
      <c r="AR489" s="7">
        <v>18.0</v>
      </c>
      <c r="AS489" s="7">
        <v>48.0</v>
      </c>
      <c r="AT489" s="7">
        <v>59.0</v>
      </c>
      <c r="AU489" s="26">
        <v>24.16</v>
      </c>
      <c r="AV489" s="25">
        <v>143.44</v>
      </c>
      <c r="AW489" s="25">
        <v>16.8</v>
      </c>
      <c r="AX489" s="25">
        <v>44.3</v>
      </c>
      <c r="AY489" s="25">
        <v>93.7</v>
      </c>
      <c r="AZ489" s="25">
        <v>9.9</v>
      </c>
      <c r="BA489" s="25">
        <v>16.41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>
      <c r="A495" s="2" t="s">
        <v>2</v>
      </c>
      <c r="B495" s="2">
        <v>3764.12</v>
      </c>
    </row>
    <row r="496" ht="15.75" customHeight="1"/>
    <row r="497" ht="15.75" customHeight="1">
      <c r="A497" s="2" t="s">
        <v>20</v>
      </c>
    </row>
    <row r="498" ht="15.75" customHeight="1">
      <c r="A498" s="2" t="s">
        <v>0</v>
      </c>
      <c r="B498" s="3">
        <v>20.75</v>
      </c>
      <c r="C498" s="3">
        <v>29.98</v>
      </c>
      <c r="D498" s="3">
        <v>20.88</v>
      </c>
      <c r="E498" s="3">
        <v>718.01</v>
      </c>
      <c r="F498" s="3">
        <v>41.8</v>
      </c>
      <c r="G498" s="3">
        <v>54.9</v>
      </c>
      <c r="H498" s="3">
        <v>57.47</v>
      </c>
      <c r="I498" s="3">
        <v>28.29</v>
      </c>
      <c r="J498" s="3">
        <v>92.5</v>
      </c>
      <c r="K498" s="27">
        <v>70.08</v>
      </c>
      <c r="L498" s="27">
        <v>75.8</v>
      </c>
      <c r="M498" s="3">
        <v>4.5</v>
      </c>
      <c r="N498" s="3">
        <v>99.25</v>
      </c>
      <c r="O498" s="3">
        <v>69.0</v>
      </c>
      <c r="P498" s="3">
        <v>126.83</v>
      </c>
      <c r="Q498" s="3">
        <v>37.9</v>
      </c>
      <c r="R498" s="3">
        <v>185.0</v>
      </c>
      <c r="S498" s="3">
        <v>15.0</v>
      </c>
      <c r="T498" s="3">
        <v>15.0</v>
      </c>
      <c r="U498" s="3">
        <v>44.0</v>
      </c>
      <c r="V498" s="3">
        <v>46.0</v>
      </c>
      <c r="W498" s="3">
        <v>25.0</v>
      </c>
      <c r="X498" s="3">
        <v>24.6</v>
      </c>
      <c r="Y498" s="3">
        <v>5.0</v>
      </c>
      <c r="Z498" s="3">
        <v>5.0</v>
      </c>
      <c r="AA498" s="3">
        <v>46.2</v>
      </c>
      <c r="AB498" s="3">
        <v>23.0</v>
      </c>
      <c r="AC498" s="3">
        <v>28.0</v>
      </c>
      <c r="AD498" s="3">
        <v>35.15</v>
      </c>
      <c r="AE498" s="3">
        <v>57.3</v>
      </c>
      <c r="AF498" s="3">
        <v>43.7</v>
      </c>
      <c r="AG498" s="3">
        <v>18.0</v>
      </c>
      <c r="AH498" s="3">
        <v>21.0</v>
      </c>
      <c r="AI498" s="3">
        <v>32.0</v>
      </c>
      <c r="AJ498" s="3">
        <v>93.28</v>
      </c>
      <c r="AK498" s="3">
        <v>90.1</v>
      </c>
      <c r="AL498" s="3">
        <v>98.0</v>
      </c>
      <c r="AM498" s="3">
        <v>72.0</v>
      </c>
      <c r="AN498" s="3">
        <v>20.0</v>
      </c>
      <c r="AO498" s="3">
        <v>94.0</v>
      </c>
      <c r="AP498" s="3">
        <v>112.0</v>
      </c>
      <c r="AQ498" s="3">
        <v>64.0</v>
      </c>
      <c r="AR498" s="3">
        <v>30.0</v>
      </c>
      <c r="AS498" s="3">
        <v>20.0</v>
      </c>
      <c r="AT498" s="3">
        <v>35.83</v>
      </c>
      <c r="AU498" s="2">
        <v>477.34</v>
      </c>
    </row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>
      <c r="A504" s="2" t="s">
        <v>2</v>
      </c>
      <c r="B504" s="2">
        <v>3423.44</v>
      </c>
    </row>
    <row r="505" ht="15.75" customHeight="1"/>
    <row r="506" ht="15.75" customHeight="1">
      <c r="A506" s="2" t="s">
        <v>21</v>
      </c>
    </row>
    <row r="507" ht="15.75" customHeight="1">
      <c r="A507" s="2" t="s">
        <v>0</v>
      </c>
      <c r="B507" s="3">
        <v>29.98</v>
      </c>
      <c r="C507" s="3">
        <v>20.88</v>
      </c>
      <c r="D507" s="3">
        <v>718.01</v>
      </c>
      <c r="E507" s="3">
        <v>41.08</v>
      </c>
      <c r="F507" s="3">
        <v>54.9</v>
      </c>
      <c r="G507" s="3">
        <v>57.47</v>
      </c>
      <c r="H507" s="27">
        <v>70.08</v>
      </c>
      <c r="I507" s="27">
        <v>75.8</v>
      </c>
      <c r="J507" s="3">
        <v>69.0</v>
      </c>
      <c r="K507" s="3">
        <v>55.8</v>
      </c>
      <c r="L507" s="3">
        <v>19.5</v>
      </c>
      <c r="M507" s="3">
        <v>51.58</v>
      </c>
      <c r="N507" s="3">
        <v>100.0</v>
      </c>
      <c r="O507" s="3">
        <v>55.0</v>
      </c>
      <c r="P507" s="3">
        <v>62.86</v>
      </c>
      <c r="Q507" s="3">
        <v>61.32</v>
      </c>
      <c r="R507" s="3">
        <v>23.0</v>
      </c>
      <c r="S507" s="3">
        <v>35.83</v>
      </c>
      <c r="T507" s="3">
        <v>36.32</v>
      </c>
      <c r="U507" s="3">
        <v>53.53</v>
      </c>
      <c r="V507" s="3">
        <v>29.98</v>
      </c>
      <c r="W507" s="3">
        <v>17.95</v>
      </c>
      <c r="X507" s="3">
        <v>33.29</v>
      </c>
      <c r="Y507" s="3">
        <v>49.48</v>
      </c>
      <c r="Z507" s="3">
        <v>36.0</v>
      </c>
      <c r="AA507" s="3">
        <v>20.0</v>
      </c>
      <c r="AB507" s="3">
        <v>25.0</v>
      </c>
      <c r="AC507" s="3">
        <v>41.0</v>
      </c>
      <c r="AD507" s="3">
        <v>35.15</v>
      </c>
      <c r="AE507" s="3">
        <v>50.3</v>
      </c>
      <c r="AF507" s="3">
        <v>29.98</v>
      </c>
      <c r="AG507" s="3">
        <v>117.0</v>
      </c>
      <c r="AH507" s="3">
        <v>41.0</v>
      </c>
      <c r="AI507" s="3">
        <v>17.0</v>
      </c>
      <c r="AJ507" s="3">
        <v>24.0</v>
      </c>
      <c r="AK507" s="3">
        <v>88.0</v>
      </c>
      <c r="AL507" s="3">
        <v>38.0</v>
      </c>
      <c r="AM507" s="3">
        <v>22.8</v>
      </c>
      <c r="AN507" s="3">
        <v>29.0</v>
      </c>
      <c r="AO507" s="3">
        <v>174.9</v>
      </c>
      <c r="AP507" s="3">
        <v>38.0</v>
      </c>
      <c r="AQ507" s="3">
        <v>37.5</v>
      </c>
      <c r="AR507" s="3">
        <v>8.0</v>
      </c>
      <c r="AS507" s="3">
        <v>49.75</v>
      </c>
      <c r="AT507" s="3">
        <v>183.33</v>
      </c>
      <c r="AU507" s="3">
        <v>28.52</v>
      </c>
      <c r="AV507" s="3">
        <v>16.32</v>
      </c>
      <c r="AW507" s="3">
        <v>27.86</v>
      </c>
      <c r="AX507" s="3">
        <v>10.95</v>
      </c>
      <c r="AY507" s="3">
        <v>32.76</v>
      </c>
      <c r="AZ507" s="3">
        <v>42.0</v>
      </c>
      <c r="BA507" s="3">
        <v>36.5</v>
      </c>
    </row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>
      <c r="A513" s="2" t="s">
        <v>2</v>
      </c>
      <c r="B513" s="2">
        <v>3123.26</v>
      </c>
    </row>
    <row r="514" ht="15.75" customHeight="1"/>
    <row r="515" ht="15.75" customHeight="1">
      <c r="A515" s="2" t="s">
        <v>22</v>
      </c>
    </row>
    <row r="516" ht="15.75" customHeight="1">
      <c r="A516" s="2" t="s">
        <v>0</v>
      </c>
      <c r="B516" s="3">
        <v>20.88</v>
      </c>
      <c r="C516" s="3">
        <v>718.01</v>
      </c>
      <c r="D516" s="3">
        <v>41.8</v>
      </c>
      <c r="E516" s="3">
        <v>54.9</v>
      </c>
      <c r="F516" s="3">
        <v>57.47</v>
      </c>
      <c r="G516" s="27">
        <v>70.08</v>
      </c>
      <c r="H516" s="27">
        <v>75.8</v>
      </c>
      <c r="I516" s="3">
        <v>69.0</v>
      </c>
      <c r="J516" s="3">
        <v>33.16</v>
      </c>
      <c r="K516" s="3">
        <v>171.38</v>
      </c>
      <c r="L516" s="3">
        <v>59.0</v>
      </c>
      <c r="M516" s="3">
        <v>28.0</v>
      </c>
      <c r="N516" s="3">
        <v>29.3</v>
      </c>
      <c r="O516" s="3">
        <v>15.0</v>
      </c>
      <c r="P516" s="3">
        <v>20.0</v>
      </c>
      <c r="Q516" s="3">
        <v>38.0</v>
      </c>
      <c r="R516" s="3">
        <v>144.0</v>
      </c>
      <c r="S516" s="3">
        <v>106.7</v>
      </c>
      <c r="T516" s="3">
        <v>5.0</v>
      </c>
      <c r="U516" s="3">
        <v>29.9</v>
      </c>
      <c r="V516" s="3">
        <v>27.9</v>
      </c>
      <c r="W516" s="3">
        <v>5.0</v>
      </c>
      <c r="X516" s="3">
        <v>29.2</v>
      </c>
      <c r="Y516" s="3">
        <v>33.98</v>
      </c>
      <c r="Z516" s="3">
        <v>11.87</v>
      </c>
      <c r="AA516" s="3">
        <v>33.0</v>
      </c>
      <c r="AB516" s="3">
        <v>50.0</v>
      </c>
      <c r="AC516" s="3">
        <v>44.0</v>
      </c>
      <c r="AD516" s="3">
        <v>23.0</v>
      </c>
      <c r="AE516" s="3">
        <v>183.33</v>
      </c>
      <c r="AF516" s="3">
        <v>21.0</v>
      </c>
      <c r="AG516" s="3">
        <v>35.0</v>
      </c>
      <c r="AH516" s="3">
        <v>21.13</v>
      </c>
      <c r="AI516" s="3">
        <v>62.0</v>
      </c>
      <c r="AJ516" s="3">
        <v>90.0</v>
      </c>
      <c r="AK516" s="3">
        <v>38.0</v>
      </c>
      <c r="AL516" s="3">
        <v>28.59</v>
      </c>
      <c r="AM516" s="3">
        <v>12.5</v>
      </c>
      <c r="AN516" s="3">
        <v>35.0</v>
      </c>
      <c r="AO516" s="3">
        <v>17.39</v>
      </c>
      <c r="AP516" s="3">
        <v>17.0</v>
      </c>
      <c r="AQ516" s="3">
        <v>39.3</v>
      </c>
      <c r="AR516" s="3">
        <v>50.0</v>
      </c>
      <c r="AS516" s="3">
        <v>37.7</v>
      </c>
      <c r="AT516" s="3">
        <v>44.78</v>
      </c>
      <c r="AU516" s="3">
        <v>12.0</v>
      </c>
      <c r="AV516" s="3">
        <v>57.3</v>
      </c>
      <c r="AW516" s="3">
        <v>119.18</v>
      </c>
      <c r="AX516" s="3">
        <v>26.0</v>
      </c>
      <c r="AY516" s="3">
        <v>50.0</v>
      </c>
      <c r="AZ516" s="3">
        <v>8.0</v>
      </c>
      <c r="BA516" s="3">
        <v>6.0</v>
      </c>
      <c r="BB516" s="3">
        <v>70.0</v>
      </c>
      <c r="BC516" s="3">
        <v>20.0</v>
      </c>
      <c r="BD516" s="3">
        <v>24.0</v>
      </c>
      <c r="BE516" s="3">
        <v>65.72</v>
      </c>
      <c r="BF516" s="3">
        <v>31.87</v>
      </c>
      <c r="BG516" s="3">
        <v>13.0</v>
      </c>
      <c r="BH516" s="3">
        <v>26.0</v>
      </c>
      <c r="BI516" s="3">
        <v>5.0</v>
      </c>
      <c r="BJ516" s="3">
        <v>23.5</v>
      </c>
      <c r="BK516" s="3">
        <v>68.0</v>
      </c>
      <c r="BL516" s="3">
        <v>41.02</v>
      </c>
      <c r="BM516" s="3">
        <v>39.0</v>
      </c>
      <c r="BN516" s="3">
        <v>12.84</v>
      </c>
      <c r="BO516" s="3">
        <v>17.12</v>
      </c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>
      <c r="A522" s="2" t="s">
        <v>2</v>
      </c>
      <c r="B522" s="2">
        <v>3513.6</v>
      </c>
    </row>
    <row r="523" ht="15.75" customHeight="1"/>
    <row r="524" ht="15.75" customHeight="1">
      <c r="A524" s="2" t="s">
        <v>23</v>
      </c>
    </row>
    <row r="525" ht="15.75" customHeight="1">
      <c r="A525" s="2" t="s">
        <v>0</v>
      </c>
      <c r="B525" s="3">
        <v>20.88</v>
      </c>
      <c r="C525" s="3">
        <v>718.01</v>
      </c>
      <c r="D525" s="3">
        <v>54.99</v>
      </c>
      <c r="E525" s="3">
        <v>57.47</v>
      </c>
      <c r="F525" s="27">
        <v>70.08</v>
      </c>
      <c r="G525" s="27">
        <v>69.0</v>
      </c>
      <c r="H525" s="3">
        <v>183.34</v>
      </c>
      <c r="I525" s="3">
        <v>17.12</v>
      </c>
      <c r="J525" s="3">
        <v>38.0</v>
      </c>
      <c r="K525" s="3">
        <v>17.39</v>
      </c>
      <c r="L525" s="3">
        <v>38.0</v>
      </c>
      <c r="M525" s="3">
        <v>29.5</v>
      </c>
      <c r="N525" s="3">
        <v>184.81</v>
      </c>
      <c r="O525" s="3">
        <v>19.25</v>
      </c>
      <c r="P525" s="3">
        <v>54.8</v>
      </c>
      <c r="Q525" s="3">
        <v>97.9</v>
      </c>
      <c r="R525" s="3">
        <v>38.0</v>
      </c>
      <c r="S525" s="3">
        <v>148.0</v>
      </c>
      <c r="T525" s="3">
        <v>38.0</v>
      </c>
      <c r="U525" s="3">
        <v>61.14</v>
      </c>
      <c r="V525" s="3">
        <v>44.0</v>
      </c>
      <c r="W525" s="3">
        <v>63.36</v>
      </c>
      <c r="X525" s="3">
        <v>12.0</v>
      </c>
      <c r="Y525" s="3">
        <v>58.8</v>
      </c>
      <c r="Z525" s="3">
        <v>47.25</v>
      </c>
      <c r="AA525" s="3">
        <v>137.0</v>
      </c>
      <c r="AB525" s="3">
        <v>43.99</v>
      </c>
      <c r="AC525" s="3">
        <v>29.71</v>
      </c>
      <c r="AD525" s="3">
        <v>35.89</v>
      </c>
      <c r="AE525" s="3">
        <v>42.0</v>
      </c>
      <c r="AF525" s="3">
        <v>5.5</v>
      </c>
      <c r="AG525" s="3">
        <v>20.01</v>
      </c>
      <c r="AH525" s="3">
        <v>24.29</v>
      </c>
      <c r="AI525" s="3">
        <v>88.0</v>
      </c>
      <c r="AJ525" s="3">
        <v>73.2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>
      <c r="A532" s="2" t="s">
        <v>2</v>
      </c>
      <c r="B532" s="2">
        <v>2680.68</v>
      </c>
    </row>
    <row r="533" ht="15.75" customHeight="1"/>
    <row r="534" ht="15.75" customHeight="1">
      <c r="A534" s="2" t="s">
        <v>74</v>
      </c>
    </row>
    <row r="535" ht="15.75" customHeight="1">
      <c r="A535" s="2" t="s">
        <v>0</v>
      </c>
      <c r="B535" s="3">
        <v>718.01</v>
      </c>
      <c r="C535" s="3">
        <v>57.47</v>
      </c>
      <c r="D535" s="27">
        <v>70.08</v>
      </c>
      <c r="E535" s="3">
        <v>69.0</v>
      </c>
      <c r="F535" s="3">
        <v>17.39</v>
      </c>
      <c r="G535" s="3">
        <v>17.12</v>
      </c>
      <c r="H535" s="3">
        <v>71.52</v>
      </c>
      <c r="I535" s="3">
        <v>159.39</v>
      </c>
      <c r="J535" s="3">
        <v>82.4</v>
      </c>
      <c r="K535" s="3">
        <v>72.6</v>
      </c>
      <c r="L535" s="3">
        <v>127.27</v>
      </c>
      <c r="M535" s="3">
        <v>30.14</v>
      </c>
      <c r="N535" s="3">
        <v>20.01</v>
      </c>
      <c r="O535" s="3">
        <v>54.99</v>
      </c>
      <c r="P535" s="3">
        <v>38.0</v>
      </c>
      <c r="Q535" s="3">
        <v>36.8</v>
      </c>
      <c r="R535" s="3">
        <v>38.0</v>
      </c>
      <c r="S535" s="3">
        <v>41.12</v>
      </c>
      <c r="T535" s="3">
        <v>36.76</v>
      </c>
      <c r="U535" s="3">
        <v>38.0</v>
      </c>
      <c r="V535" s="3">
        <v>38.0</v>
      </c>
      <c r="W535" s="3">
        <v>40.32</v>
      </c>
      <c r="X535" s="3">
        <v>20.0</v>
      </c>
      <c r="Y535" s="3">
        <v>20.64</v>
      </c>
      <c r="Z535" s="3">
        <v>89.6</v>
      </c>
      <c r="AA535" s="3">
        <v>24.0</v>
      </c>
      <c r="AB535" s="3">
        <v>129.8</v>
      </c>
      <c r="AC535" s="3">
        <v>45.0</v>
      </c>
      <c r="AD535" s="3">
        <v>5.0</v>
      </c>
      <c r="AE535" s="3">
        <v>40.8</v>
      </c>
      <c r="AF535" s="3">
        <v>38.0</v>
      </c>
      <c r="AG535" s="3">
        <v>38.0</v>
      </c>
      <c r="AH535" s="3">
        <v>56.9</v>
      </c>
      <c r="AI535" s="3">
        <v>43.0</v>
      </c>
      <c r="AJ535" s="3">
        <v>39.0</v>
      </c>
      <c r="AK535" s="3">
        <v>14.86</v>
      </c>
      <c r="AL535" s="3">
        <v>170.39</v>
      </c>
      <c r="AM535" s="3">
        <v>38.0</v>
      </c>
      <c r="AN535" s="3">
        <v>18.0</v>
      </c>
      <c r="AO535" s="3">
        <v>20.0</v>
      </c>
      <c r="AP535" s="3">
        <v>46.47</v>
      </c>
      <c r="AQ535" s="3">
        <v>280.98</v>
      </c>
    </row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>
      <c r="A541" s="2" t="s">
        <v>2</v>
      </c>
      <c r="B541" s="2">
        <v>3052.83</v>
      </c>
    </row>
    <row r="542" ht="15.75" customHeight="1"/>
    <row r="543" ht="15.75" customHeight="1">
      <c r="A543" s="2" t="s">
        <v>25</v>
      </c>
      <c r="B543" s="3"/>
    </row>
    <row r="544" ht="15.75" customHeight="1">
      <c r="A544" s="2" t="s">
        <v>0</v>
      </c>
      <c r="B544" s="7">
        <v>57.47</v>
      </c>
      <c r="C544" s="10">
        <v>70.08</v>
      </c>
      <c r="D544" s="7">
        <v>69.0</v>
      </c>
      <c r="E544" s="7">
        <v>17.12</v>
      </c>
      <c r="F544" s="3">
        <v>20.01</v>
      </c>
      <c r="G544" s="7">
        <v>54.99</v>
      </c>
      <c r="H544" s="3">
        <v>86.67</v>
      </c>
      <c r="I544" s="7">
        <v>38.0</v>
      </c>
      <c r="J544" s="3">
        <v>112.43</v>
      </c>
      <c r="K544" s="3">
        <v>37.8</v>
      </c>
      <c r="L544" s="3">
        <v>75.8</v>
      </c>
      <c r="M544" s="3">
        <v>38.0</v>
      </c>
      <c r="N544" s="3">
        <v>33.0</v>
      </c>
      <c r="O544" s="3">
        <v>187.0</v>
      </c>
      <c r="P544" s="3">
        <v>40.0</v>
      </c>
      <c r="Q544" s="3">
        <v>45.0</v>
      </c>
      <c r="R544" s="3">
        <v>37.7</v>
      </c>
      <c r="S544" s="3">
        <v>34.0</v>
      </c>
      <c r="T544" s="3">
        <v>59.5</v>
      </c>
      <c r="U544" s="3">
        <v>68.0</v>
      </c>
      <c r="V544" s="3">
        <v>75.35</v>
      </c>
      <c r="W544" s="3">
        <v>141.68</v>
      </c>
      <c r="X544" s="3">
        <v>30.37</v>
      </c>
      <c r="Y544" s="3">
        <v>38.0</v>
      </c>
      <c r="Z544" s="3">
        <v>38.6</v>
      </c>
      <c r="AA544" s="3">
        <v>5.0</v>
      </c>
      <c r="AB544" s="3">
        <v>21.0</v>
      </c>
      <c r="AC544" s="3">
        <v>41.26</v>
      </c>
      <c r="AD544" s="3">
        <v>26.0</v>
      </c>
      <c r="AE544" s="3">
        <v>79.0</v>
      </c>
      <c r="AF544" s="3">
        <v>38.0</v>
      </c>
      <c r="AG544" s="3">
        <v>38.0</v>
      </c>
      <c r="AH544" s="3">
        <v>37.58</v>
      </c>
      <c r="AI544" s="3">
        <v>19.15</v>
      </c>
      <c r="AJ544" s="3">
        <v>56.66</v>
      </c>
      <c r="AK544" s="7">
        <v>47.0</v>
      </c>
      <c r="AL544" s="7">
        <v>21.65</v>
      </c>
      <c r="AM544" s="7">
        <v>20.0</v>
      </c>
      <c r="AN544" s="7">
        <v>29.3</v>
      </c>
      <c r="AO544" s="7">
        <v>20.0</v>
      </c>
      <c r="AP544" s="7">
        <v>25.0</v>
      </c>
      <c r="AQ544" s="7">
        <v>46.0</v>
      </c>
      <c r="AR544" s="7">
        <v>45.11</v>
      </c>
      <c r="AS544" s="7">
        <v>13.0</v>
      </c>
      <c r="AT544" s="7">
        <v>28.99</v>
      </c>
      <c r="AU544" s="7">
        <v>22.3</v>
      </c>
      <c r="AV544" s="7">
        <v>181.35</v>
      </c>
      <c r="AW544" s="3">
        <v>30.0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>
      <c r="A550" s="2" t="s">
        <v>2</v>
      </c>
      <c r="B550" s="2">
        <v>2396.92</v>
      </c>
    </row>
    <row r="551" ht="15.75" customHeight="1"/>
    <row r="552" ht="15.75" customHeight="1">
      <c r="A552" s="2" t="s">
        <v>75</v>
      </c>
    </row>
    <row r="553" ht="15.75" customHeight="1">
      <c r="A553" s="2" t="s">
        <v>0</v>
      </c>
      <c r="B553" s="27">
        <v>70.08</v>
      </c>
      <c r="C553" s="3">
        <v>69.0</v>
      </c>
      <c r="D553" s="3">
        <v>17.12</v>
      </c>
      <c r="E553" s="3">
        <v>20.01</v>
      </c>
      <c r="F553" s="3">
        <v>22.3</v>
      </c>
      <c r="G553" s="3">
        <v>22.0</v>
      </c>
      <c r="H553" s="3">
        <v>36.7</v>
      </c>
      <c r="I553" s="3">
        <v>5.0</v>
      </c>
      <c r="J553" s="3">
        <v>9.5</v>
      </c>
      <c r="K553" s="3">
        <v>51.0</v>
      </c>
      <c r="L553" s="3">
        <v>38.0</v>
      </c>
      <c r="M553" s="3">
        <v>65.33</v>
      </c>
      <c r="N553" s="3">
        <v>26.98</v>
      </c>
      <c r="O553" s="3">
        <v>28.5</v>
      </c>
      <c r="P553" s="3">
        <v>18.9</v>
      </c>
      <c r="Q553" s="3">
        <v>36.0</v>
      </c>
      <c r="R553" s="3">
        <v>5.0</v>
      </c>
      <c r="S553" s="3">
        <v>115.39</v>
      </c>
      <c r="T553" s="3">
        <v>108.5</v>
      </c>
      <c r="U553" s="3">
        <v>27.31</v>
      </c>
      <c r="V553" s="3">
        <v>38.0</v>
      </c>
      <c r="W553" s="3">
        <v>102.0</v>
      </c>
      <c r="X553" s="3">
        <v>38.0</v>
      </c>
      <c r="Y553" s="3">
        <v>25.71</v>
      </c>
      <c r="Z553" s="3">
        <v>5.0</v>
      </c>
      <c r="AA553" s="3">
        <v>26.0</v>
      </c>
      <c r="AB553" s="3">
        <v>5.0</v>
      </c>
      <c r="AC553" s="3">
        <v>49.55</v>
      </c>
      <c r="AD553" s="3">
        <v>15.0</v>
      </c>
      <c r="AE553" s="3">
        <v>27.98</v>
      </c>
      <c r="AF553" s="3">
        <v>118.99</v>
      </c>
      <c r="AG553" s="3">
        <v>12.0</v>
      </c>
      <c r="AH553" s="3">
        <v>24.0</v>
      </c>
      <c r="AI553" s="3">
        <v>25.0</v>
      </c>
      <c r="AJ553" s="3">
        <v>47.2</v>
      </c>
      <c r="AK553" s="3">
        <v>76.45</v>
      </c>
      <c r="AL553" s="3">
        <v>137.5</v>
      </c>
      <c r="AM553" s="3">
        <v>79.8</v>
      </c>
      <c r="AN553" s="3">
        <v>23.55</v>
      </c>
      <c r="AO553" s="3">
        <v>83.6</v>
      </c>
      <c r="AP553" s="3">
        <v>32.0</v>
      </c>
      <c r="AQ553" s="3">
        <v>144.92</v>
      </c>
      <c r="AR553" s="3">
        <v>27.98</v>
      </c>
      <c r="AS553" s="3">
        <v>27.0</v>
      </c>
      <c r="AT553" s="3">
        <v>147.73</v>
      </c>
      <c r="AU553" s="3">
        <v>27.0</v>
      </c>
      <c r="AV553" s="3">
        <v>42.24</v>
      </c>
      <c r="AW553" s="3">
        <v>76.33</v>
      </c>
      <c r="AX553" s="3">
        <v>54.99</v>
      </c>
      <c r="AY553" s="3">
        <v>11.25</v>
      </c>
      <c r="AZ553" s="3">
        <v>155.0</v>
      </c>
      <c r="BA553" s="3">
        <v>23.23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>
      <c r="A559" s="2" t="s">
        <v>2</v>
      </c>
      <c r="B559" s="2">
        <v>2522.62</v>
      </c>
    </row>
    <row r="560" ht="15.75" customHeight="1"/>
    <row r="561" ht="15.75" customHeight="1">
      <c r="A561" s="2" t="s">
        <v>76</v>
      </c>
    </row>
    <row r="562" ht="15.75" customHeight="1">
      <c r="A562" s="2" t="s">
        <v>0</v>
      </c>
      <c r="B562" s="27">
        <v>70.08</v>
      </c>
      <c r="C562" s="3">
        <v>69.0</v>
      </c>
      <c r="D562" s="3">
        <v>17.12</v>
      </c>
      <c r="E562" s="3">
        <v>20.01</v>
      </c>
      <c r="F562" s="3">
        <v>22.33</v>
      </c>
      <c r="G562" s="3">
        <v>22.0</v>
      </c>
      <c r="H562" s="3">
        <v>54.99</v>
      </c>
      <c r="I562" s="3">
        <v>11.25</v>
      </c>
      <c r="J562" s="3">
        <v>5.0</v>
      </c>
      <c r="K562" s="3">
        <v>64.4</v>
      </c>
      <c r="L562" s="3">
        <v>26.0</v>
      </c>
      <c r="M562" s="3">
        <v>27.68</v>
      </c>
      <c r="N562" s="3">
        <v>117.52</v>
      </c>
      <c r="O562" s="3">
        <v>38.0</v>
      </c>
      <c r="P562" s="3">
        <v>38.0</v>
      </c>
      <c r="Q562" s="3">
        <v>48.41</v>
      </c>
      <c r="R562" s="3">
        <v>78.01</v>
      </c>
      <c r="S562" s="3">
        <v>38.0</v>
      </c>
      <c r="T562" s="3">
        <v>68.0</v>
      </c>
      <c r="U562" s="3">
        <v>36.0</v>
      </c>
      <c r="V562" s="3">
        <v>31.0</v>
      </c>
      <c r="W562" s="3">
        <v>39.17</v>
      </c>
      <c r="X562" s="3">
        <v>35.7</v>
      </c>
      <c r="Y562" s="3">
        <v>42.0</v>
      </c>
      <c r="Z562" s="3">
        <v>56.3</v>
      </c>
      <c r="AA562" s="3">
        <v>60.0</v>
      </c>
      <c r="AB562" s="3">
        <v>60.0</v>
      </c>
      <c r="AC562" s="3">
        <v>38.0</v>
      </c>
      <c r="AD562" s="3">
        <v>36.0</v>
      </c>
      <c r="AE562" s="3">
        <v>35.9</v>
      </c>
      <c r="AF562" s="3">
        <v>56.0</v>
      </c>
      <c r="AG562" s="3">
        <v>51.7</v>
      </c>
      <c r="AH562" s="3">
        <v>7.0</v>
      </c>
      <c r="AI562" s="3">
        <v>23.0</v>
      </c>
      <c r="AJ562" s="3">
        <v>25.0</v>
      </c>
      <c r="AK562" s="3">
        <v>187.0</v>
      </c>
      <c r="AL562" s="3">
        <v>34.95</v>
      </c>
      <c r="AM562" s="3">
        <v>51.99</v>
      </c>
      <c r="AN562" s="3">
        <v>42.55</v>
      </c>
      <c r="AO562" s="3">
        <v>20.0</v>
      </c>
      <c r="AP562" s="3">
        <v>38.0</v>
      </c>
      <c r="AQ562" s="3">
        <v>34.5</v>
      </c>
      <c r="AR562" s="3">
        <v>41.88</v>
      </c>
      <c r="AS562" s="3">
        <v>15.71</v>
      </c>
      <c r="AT562" s="3">
        <v>48.0</v>
      </c>
      <c r="AU562" s="3">
        <v>23.0</v>
      </c>
      <c r="AV562" s="3">
        <v>9.71</v>
      </c>
      <c r="AW562" s="3">
        <v>30.17</v>
      </c>
      <c r="AX562" s="3">
        <v>49.0</v>
      </c>
      <c r="AY562" s="3">
        <v>48.0</v>
      </c>
      <c r="AZ562" s="3">
        <v>12.0</v>
      </c>
      <c r="BA562" s="3">
        <v>31.7</v>
      </c>
      <c r="BB562" s="3">
        <v>130.9</v>
      </c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>
      <c r="A568" s="2" t="s">
        <v>2</v>
      </c>
      <c r="B568" s="2">
        <v>2317.63</v>
      </c>
    </row>
    <row r="569" ht="15.75" customHeight="1"/>
    <row r="570" ht="15.75" customHeight="1">
      <c r="A570" s="2" t="s">
        <v>28</v>
      </c>
    </row>
    <row r="571" ht="15.75" customHeight="1">
      <c r="A571" s="2" t="s">
        <v>0</v>
      </c>
      <c r="B571" s="3">
        <v>69.0</v>
      </c>
      <c r="C571" s="3">
        <v>17.12</v>
      </c>
      <c r="D571" s="3">
        <v>20.01</v>
      </c>
      <c r="E571" s="3">
        <v>22.33</v>
      </c>
      <c r="F571" s="3">
        <v>22.0</v>
      </c>
      <c r="G571" s="3">
        <v>54.99</v>
      </c>
      <c r="H571" s="3">
        <v>22.0</v>
      </c>
      <c r="I571" s="3">
        <v>36.32</v>
      </c>
      <c r="J571" s="3">
        <v>10.0</v>
      </c>
      <c r="K571" s="3">
        <v>26.16</v>
      </c>
      <c r="L571" s="3">
        <v>28.47</v>
      </c>
      <c r="M571" s="3">
        <v>58.3</v>
      </c>
      <c r="N571" s="3">
        <v>65.65</v>
      </c>
      <c r="O571" s="3">
        <v>38.0</v>
      </c>
      <c r="P571" s="3">
        <v>138.6</v>
      </c>
      <c r="Q571" s="3">
        <v>32.0</v>
      </c>
      <c r="R571" s="3">
        <v>45.0</v>
      </c>
      <c r="S571" s="3">
        <v>5.0</v>
      </c>
      <c r="T571" s="3">
        <v>16.86</v>
      </c>
      <c r="U571" s="3">
        <v>29.93</v>
      </c>
      <c r="V571" s="3">
        <v>12.0</v>
      </c>
      <c r="W571" s="3">
        <v>55.0</v>
      </c>
      <c r="X571" s="3">
        <v>82.5</v>
      </c>
      <c r="Y571" s="3">
        <v>25.0</v>
      </c>
      <c r="Z571" s="3">
        <v>19.99</v>
      </c>
      <c r="AA571" s="3">
        <v>45.0</v>
      </c>
      <c r="AB571" s="3">
        <v>145.2</v>
      </c>
      <c r="AC571" s="3">
        <v>38.0</v>
      </c>
      <c r="AD571" s="3">
        <v>36.0</v>
      </c>
      <c r="AE571" s="3">
        <v>12.0</v>
      </c>
      <c r="AF571" s="3">
        <v>18.55</v>
      </c>
      <c r="AG571" s="3">
        <v>40.0</v>
      </c>
      <c r="AH571" s="3">
        <v>11.11</v>
      </c>
      <c r="AI571" s="3">
        <v>60.95</v>
      </c>
      <c r="AJ571" s="3">
        <v>22.0</v>
      </c>
      <c r="AK571" s="3">
        <v>84.0</v>
      </c>
      <c r="AL571" s="3">
        <v>45.0</v>
      </c>
      <c r="AM571" s="3">
        <v>16.0</v>
      </c>
      <c r="AN571" s="3">
        <v>26.25</v>
      </c>
      <c r="AO571" s="3">
        <v>43.0</v>
      </c>
      <c r="AP571" s="3">
        <v>43.0</v>
      </c>
      <c r="AQ571" s="3">
        <v>18.55</v>
      </c>
      <c r="AR571" s="3">
        <v>10.76</v>
      </c>
      <c r="AS571" s="3">
        <v>158.51</v>
      </c>
      <c r="AT571" s="3">
        <v>24.0</v>
      </c>
      <c r="AU571" s="3">
        <v>43.91</v>
      </c>
      <c r="AV571" s="3">
        <v>3.0</v>
      </c>
      <c r="AW571" s="3">
        <v>70.8</v>
      </c>
      <c r="AX571" s="3">
        <v>38.0</v>
      </c>
      <c r="AY571" s="3">
        <v>59.48</v>
      </c>
      <c r="AZ571" s="3">
        <v>56.0</v>
      </c>
      <c r="BA571" s="3">
        <v>22.9</v>
      </c>
      <c r="BB571" s="3">
        <v>36.4</v>
      </c>
      <c r="BC571" s="3">
        <v>35.89</v>
      </c>
      <c r="BD571" s="3">
        <v>24.0</v>
      </c>
      <c r="BE571" s="3">
        <v>68.99</v>
      </c>
      <c r="BF571" s="3">
        <v>21.52</v>
      </c>
      <c r="BG571" s="3">
        <v>43.27</v>
      </c>
      <c r="BH571" s="3">
        <v>5.0</v>
      </c>
      <c r="BI571" s="3">
        <v>34.9</v>
      </c>
      <c r="BJ571" s="3">
        <v>94.86</v>
      </c>
      <c r="BK571" s="3">
        <v>12.78</v>
      </c>
      <c r="BL571" s="3">
        <v>12.3</v>
      </c>
      <c r="BM571" s="3"/>
    </row>
    <row r="572" ht="15.75" customHeight="1"/>
    <row r="573" ht="15.75" customHeight="1"/>
    <row r="574" ht="15.75" customHeight="1">
      <c r="V574" s="3"/>
    </row>
    <row r="575" ht="15.75" customHeight="1">
      <c r="V575" s="3"/>
    </row>
    <row r="576" ht="15.75" customHeight="1"/>
    <row r="577" ht="15.75" customHeight="1">
      <c r="A577" s="2" t="s">
        <v>2</v>
      </c>
      <c r="B577" s="2">
        <v>2534.11</v>
      </c>
    </row>
    <row r="578" ht="15.75" customHeight="1"/>
    <row r="579" ht="15.75" customHeight="1">
      <c r="A579" s="2" t="s">
        <v>29</v>
      </c>
      <c r="AP579" s="2" t="s">
        <v>77</v>
      </c>
    </row>
    <row r="580" ht="15.75" customHeight="1">
      <c r="A580" s="2" t="s">
        <v>0</v>
      </c>
      <c r="B580" s="3">
        <v>69.0</v>
      </c>
      <c r="C580" s="3">
        <v>17.12</v>
      </c>
      <c r="D580" s="3">
        <v>20.01</v>
      </c>
      <c r="E580" s="3">
        <v>22.33</v>
      </c>
      <c r="F580" s="3">
        <v>22.0</v>
      </c>
      <c r="G580" s="3">
        <v>54.99</v>
      </c>
      <c r="H580" s="3">
        <v>12.0</v>
      </c>
      <c r="I580" s="3">
        <v>12.12</v>
      </c>
      <c r="J580" s="3">
        <v>82.5</v>
      </c>
      <c r="K580" s="3">
        <v>94.86</v>
      </c>
      <c r="L580" s="3">
        <v>46.2</v>
      </c>
      <c r="M580" s="3">
        <v>84.0</v>
      </c>
      <c r="N580" s="3">
        <v>129.5</v>
      </c>
      <c r="O580" s="3">
        <v>22.0</v>
      </c>
      <c r="P580" s="3">
        <v>38.0</v>
      </c>
      <c r="Q580" s="3">
        <v>38.36</v>
      </c>
      <c r="R580" s="3">
        <v>25.45</v>
      </c>
      <c r="S580" s="3">
        <v>49.0</v>
      </c>
      <c r="T580" s="3">
        <v>31.9</v>
      </c>
      <c r="U580" s="28" t="s">
        <v>78</v>
      </c>
      <c r="V580" s="3">
        <v>38.0</v>
      </c>
      <c r="W580" s="3">
        <v>85.44</v>
      </c>
      <c r="X580" s="3">
        <v>52.0</v>
      </c>
      <c r="Y580" s="3">
        <v>31.57</v>
      </c>
      <c r="Z580" s="3">
        <v>53.0</v>
      </c>
      <c r="AA580" s="3">
        <v>48.32</v>
      </c>
      <c r="AB580" s="3">
        <v>36.0</v>
      </c>
      <c r="AC580" s="3">
        <v>38.0</v>
      </c>
      <c r="AD580" s="3">
        <v>38.0</v>
      </c>
      <c r="AE580" s="3">
        <v>150.15</v>
      </c>
      <c r="AF580" s="3">
        <v>154.0</v>
      </c>
      <c r="AG580" s="3">
        <v>23.75</v>
      </c>
      <c r="AH580" s="3">
        <v>42.03</v>
      </c>
      <c r="AI580" s="3">
        <v>52.0</v>
      </c>
      <c r="AJ580" s="3">
        <v>43.16</v>
      </c>
      <c r="AK580" s="3">
        <v>100.0</v>
      </c>
      <c r="AL580" s="3">
        <v>38.0</v>
      </c>
      <c r="AM580" s="3">
        <v>66.0</v>
      </c>
      <c r="AN580" s="3">
        <v>38.0</v>
      </c>
      <c r="AO580" s="3">
        <v>73.0</v>
      </c>
      <c r="AP580" s="3">
        <v>33.24</v>
      </c>
      <c r="AQ580" s="3">
        <v>18.97</v>
      </c>
      <c r="AR580" s="3">
        <v>18.53</v>
      </c>
      <c r="AS580" s="3">
        <v>12.71</v>
      </c>
      <c r="AT580" s="3">
        <v>18.31</v>
      </c>
      <c r="AU580" s="3">
        <v>41.09</v>
      </c>
      <c r="AV580" s="3">
        <v>49.1</v>
      </c>
      <c r="AW580" s="3">
        <v>36.0</v>
      </c>
      <c r="AX580" s="3">
        <v>16.59</v>
      </c>
    </row>
    <row r="581" ht="15.75" customHeight="1">
      <c r="A581" s="2" t="s">
        <v>57</v>
      </c>
      <c r="B581" s="3">
        <v>34.82</v>
      </c>
      <c r="C581" s="3">
        <v>34.82</v>
      </c>
    </row>
    <row r="582" ht="15.75" customHeight="1">
      <c r="A582" s="2" t="s">
        <v>72</v>
      </c>
      <c r="B582" s="3">
        <v>80.0</v>
      </c>
      <c r="C582" s="3"/>
    </row>
    <row r="583" ht="15.75" customHeight="1"/>
    <row r="584" ht="15.75" customHeight="1"/>
    <row r="585" ht="15.75" customHeight="1"/>
    <row r="586" ht="15.75" customHeight="1">
      <c r="A586" s="2" t="s">
        <v>2</v>
      </c>
      <c r="B586" s="2">
        <v>2465.94</v>
      </c>
    </row>
    <row r="587" ht="15.75" customHeight="1"/>
    <row r="588" ht="15.75" customHeight="1">
      <c r="A588" s="2" t="s">
        <v>30</v>
      </c>
    </row>
    <row r="589" ht="15.75" customHeight="1">
      <c r="A589" s="2" t="s">
        <v>0</v>
      </c>
      <c r="B589" s="3">
        <v>69.0</v>
      </c>
      <c r="C589" s="3">
        <v>17.12</v>
      </c>
      <c r="D589" s="3">
        <v>20.01</v>
      </c>
      <c r="E589" s="3">
        <v>22.33</v>
      </c>
      <c r="F589" s="3">
        <v>22.0</v>
      </c>
      <c r="G589" s="3">
        <v>59.99</v>
      </c>
      <c r="H589" s="3">
        <v>12.0</v>
      </c>
      <c r="I589" s="3">
        <v>12.1</v>
      </c>
      <c r="J589" s="3">
        <v>82.5</v>
      </c>
      <c r="K589" s="3">
        <v>94.86</v>
      </c>
      <c r="L589" s="3">
        <v>26.25</v>
      </c>
      <c r="M589" s="3">
        <v>66.5</v>
      </c>
      <c r="N589" s="3">
        <v>64.6</v>
      </c>
      <c r="O589" s="3">
        <v>75.0</v>
      </c>
      <c r="P589" s="3">
        <v>191.4</v>
      </c>
      <c r="Q589" s="3">
        <v>41.88</v>
      </c>
      <c r="R589" s="3">
        <v>135.85</v>
      </c>
      <c r="S589" s="3">
        <v>20.09</v>
      </c>
      <c r="T589" s="3">
        <v>33.24</v>
      </c>
      <c r="U589" s="3">
        <v>29.5</v>
      </c>
      <c r="V589" s="3">
        <v>43.0</v>
      </c>
      <c r="W589" s="3">
        <v>28.0</v>
      </c>
      <c r="X589" s="3">
        <v>50.0</v>
      </c>
      <c r="Y589" s="3">
        <v>42.0</v>
      </c>
      <c r="Z589" s="3">
        <v>38.0</v>
      </c>
      <c r="AA589" s="3">
        <v>15.96</v>
      </c>
      <c r="AB589" s="3">
        <v>38.0</v>
      </c>
      <c r="AC589" s="3">
        <v>34.0</v>
      </c>
      <c r="AD589" s="3">
        <v>27.9</v>
      </c>
      <c r="AE589" s="3">
        <v>30.9</v>
      </c>
      <c r="AF589" s="3">
        <v>45.03</v>
      </c>
      <c r="AG589" s="3">
        <v>38.0</v>
      </c>
      <c r="AH589" s="3">
        <v>2.5</v>
      </c>
      <c r="AI589" s="3">
        <v>90.0</v>
      </c>
      <c r="AJ589" s="3">
        <v>35.9</v>
      </c>
      <c r="AK589" s="3"/>
      <c r="AL589" s="3">
        <v>6.99</v>
      </c>
      <c r="AM589" s="3">
        <v>39.0</v>
      </c>
      <c r="AN589" s="3">
        <v>24.0</v>
      </c>
      <c r="AO589" s="3">
        <v>20.0</v>
      </c>
      <c r="AP589" s="3">
        <v>26.28</v>
      </c>
      <c r="AQ589" s="3">
        <v>25.08</v>
      </c>
      <c r="AR589" s="3">
        <v>39.2</v>
      </c>
      <c r="AS589" s="3">
        <v>47.19</v>
      </c>
      <c r="AT589" s="3">
        <v>13.44</v>
      </c>
      <c r="AU589" s="3">
        <v>6.75</v>
      </c>
      <c r="AV589" s="3">
        <v>8.55</v>
      </c>
      <c r="AW589" s="3">
        <v>52.46</v>
      </c>
      <c r="AX589" s="3">
        <v>24.0</v>
      </c>
      <c r="AY589" s="3">
        <v>38.0</v>
      </c>
      <c r="AZ589" s="3">
        <v>49.87</v>
      </c>
      <c r="BA589" s="3">
        <v>9.0</v>
      </c>
      <c r="BB589" s="3">
        <v>22.5</v>
      </c>
      <c r="BC589" s="3">
        <v>28.0</v>
      </c>
      <c r="BD589" s="3">
        <v>50.0</v>
      </c>
    </row>
    <row r="590" ht="15.75" customHeight="1">
      <c r="A590" s="2" t="s">
        <v>57</v>
      </c>
      <c r="B590" s="2">
        <v>34.82</v>
      </c>
    </row>
    <row r="591" ht="15.75" customHeight="1"/>
    <row r="592" ht="15.75" customHeight="1"/>
    <row r="593" ht="15.75" customHeight="1"/>
    <row r="594" ht="15.75" customHeight="1"/>
    <row r="595" ht="15.75" customHeight="1">
      <c r="A595" s="2" t="s">
        <v>2</v>
      </c>
      <c r="B595" s="2">
        <v>2220.54</v>
      </c>
    </row>
    <row r="596" ht="15.75" customHeight="1"/>
    <row r="597" ht="15.75" customHeight="1">
      <c r="A597" s="2" t="s">
        <v>31</v>
      </c>
    </row>
    <row r="598" ht="15.75" customHeight="1">
      <c r="A598" s="2" t="s">
        <v>0</v>
      </c>
      <c r="B598" s="7">
        <v>69.0</v>
      </c>
      <c r="C598" s="7">
        <v>17.12</v>
      </c>
      <c r="D598" s="7">
        <v>22.33</v>
      </c>
      <c r="E598" s="7">
        <v>22.0</v>
      </c>
      <c r="F598" s="7">
        <v>59.99</v>
      </c>
      <c r="G598" s="7">
        <v>12.0</v>
      </c>
      <c r="H598" s="7">
        <v>12.12</v>
      </c>
      <c r="I598" s="7">
        <v>82.5</v>
      </c>
      <c r="J598" s="7">
        <v>35.36</v>
      </c>
      <c r="K598" s="7">
        <v>66.5</v>
      </c>
      <c r="L598" s="7">
        <v>176.0</v>
      </c>
      <c r="M598" s="7">
        <v>44.76</v>
      </c>
      <c r="N598" s="7">
        <v>20.56</v>
      </c>
      <c r="O598" s="7">
        <v>38.0</v>
      </c>
      <c r="P598" s="7">
        <v>5.99</v>
      </c>
      <c r="Q598" s="7">
        <v>38.0</v>
      </c>
      <c r="R598" s="7">
        <v>45.09</v>
      </c>
      <c r="S598" s="7">
        <v>13.0</v>
      </c>
      <c r="T598" s="7">
        <v>30.0</v>
      </c>
      <c r="U598" s="7">
        <v>62.9</v>
      </c>
      <c r="V598" s="7">
        <v>5.0</v>
      </c>
      <c r="W598" s="7">
        <v>69.3</v>
      </c>
      <c r="X598" s="7">
        <v>47.19</v>
      </c>
      <c r="Y598" s="7">
        <v>110.0</v>
      </c>
      <c r="Z598" s="7">
        <v>91.2</v>
      </c>
      <c r="AA598" s="7">
        <v>32.87</v>
      </c>
      <c r="AB598" s="7">
        <v>8.0</v>
      </c>
      <c r="AC598" s="7">
        <v>38.36</v>
      </c>
      <c r="AD598" s="7">
        <v>2.5</v>
      </c>
      <c r="AE598" s="7">
        <v>42.72</v>
      </c>
      <c r="AF598" s="7">
        <v>5.0</v>
      </c>
      <c r="AG598" s="7">
        <v>38.0</v>
      </c>
      <c r="AH598" s="7">
        <v>54.75</v>
      </c>
      <c r="AI598" s="7">
        <v>132.5</v>
      </c>
      <c r="AJ598" s="7">
        <v>304.5</v>
      </c>
      <c r="AK598" s="7">
        <v>40.0</v>
      </c>
      <c r="AL598" s="7">
        <v>12.0</v>
      </c>
      <c r="AM598" s="7">
        <v>30.0</v>
      </c>
      <c r="AN598" s="7">
        <v>42.09</v>
      </c>
      <c r="AO598" s="7">
        <v>38.0</v>
      </c>
      <c r="AP598" s="7">
        <v>25.0</v>
      </c>
      <c r="AQ598" s="7">
        <v>39.43</v>
      </c>
      <c r="AR598" s="7">
        <v>20.0</v>
      </c>
      <c r="AS598" s="7">
        <v>13.51</v>
      </c>
      <c r="AT598" s="7">
        <v>56.0</v>
      </c>
      <c r="AU598" s="7">
        <v>13.55</v>
      </c>
      <c r="AV598" s="7">
        <v>7.0</v>
      </c>
      <c r="AW598" s="7">
        <v>15.12</v>
      </c>
      <c r="AX598" s="7">
        <v>6.75</v>
      </c>
      <c r="AY598" s="7">
        <v>11.0</v>
      </c>
      <c r="AZ598" s="7">
        <v>32.0</v>
      </c>
      <c r="BA598" s="7">
        <v>33.55</v>
      </c>
      <c r="BB598" s="7">
        <v>25.08</v>
      </c>
      <c r="BC598" s="7">
        <v>19.95</v>
      </c>
      <c r="BD598" s="7">
        <v>12.5</v>
      </c>
      <c r="BE598" s="7">
        <v>27.5</v>
      </c>
    </row>
    <row r="599" ht="15.75" customHeight="1">
      <c r="A599" s="2" t="s">
        <v>57</v>
      </c>
      <c r="B599" s="3">
        <v>34.82</v>
      </c>
    </row>
    <row r="600" ht="15.75" customHeight="1"/>
    <row r="601" ht="15.75" customHeight="1"/>
    <row r="602" ht="15.75" customHeight="1"/>
    <row r="603" ht="15.75" customHeight="1"/>
    <row r="604" ht="15.75" customHeight="1">
      <c r="A604" s="2" t="s">
        <v>2</v>
      </c>
      <c r="B604" s="2">
        <v>2409.96</v>
      </c>
    </row>
    <row r="605" ht="15.75" customHeight="1"/>
    <row r="606" ht="15.75" customHeight="1">
      <c r="A606" s="2" t="s">
        <v>79</v>
      </c>
    </row>
    <row r="607" ht="15.75" customHeight="1">
      <c r="A607" s="2" t="s">
        <v>0</v>
      </c>
      <c r="B607" s="3">
        <v>17.12</v>
      </c>
      <c r="C607" s="3">
        <v>22.33</v>
      </c>
      <c r="D607" s="3">
        <v>22.0</v>
      </c>
      <c r="E607" s="3">
        <v>59.99</v>
      </c>
      <c r="F607" s="3">
        <v>12.0</v>
      </c>
      <c r="G607" s="3">
        <v>12.12</v>
      </c>
      <c r="H607" s="3">
        <v>82.5</v>
      </c>
      <c r="I607" s="3">
        <v>110.0</v>
      </c>
      <c r="J607" s="3">
        <v>66.5</v>
      </c>
      <c r="K607" s="3">
        <v>132.5</v>
      </c>
      <c r="L607" s="3">
        <v>13.51</v>
      </c>
      <c r="M607" s="3">
        <v>51.2</v>
      </c>
      <c r="N607" s="3">
        <v>31.34</v>
      </c>
      <c r="O607" s="3">
        <v>36.0</v>
      </c>
      <c r="P607" s="3">
        <v>23.0</v>
      </c>
      <c r="Q607" s="3">
        <v>25.0</v>
      </c>
      <c r="R607" s="3">
        <v>23.0</v>
      </c>
      <c r="S607" s="3">
        <v>43.42</v>
      </c>
      <c r="T607" s="3">
        <v>10.0</v>
      </c>
      <c r="U607" s="3">
        <v>33.58</v>
      </c>
      <c r="V607" s="3">
        <v>39.0</v>
      </c>
      <c r="W607" s="3">
        <v>20.0</v>
      </c>
      <c r="X607" s="3">
        <v>25.9</v>
      </c>
      <c r="Y607" s="3">
        <v>56.0</v>
      </c>
      <c r="Z607" s="3">
        <v>103.2</v>
      </c>
      <c r="AA607" s="3">
        <v>25.46</v>
      </c>
      <c r="AB607" s="3">
        <v>101.0</v>
      </c>
      <c r="AC607" s="3">
        <v>69.0</v>
      </c>
      <c r="AD607" s="3">
        <v>75.66</v>
      </c>
      <c r="AE607" s="3">
        <v>48.3</v>
      </c>
      <c r="AF607" s="3">
        <v>40.86</v>
      </c>
      <c r="AG607" s="3">
        <v>49.0</v>
      </c>
      <c r="AH607" s="3">
        <v>46.55</v>
      </c>
      <c r="AI607" s="3">
        <v>47.55</v>
      </c>
      <c r="AJ607" s="3">
        <v>36.6</v>
      </c>
      <c r="AK607" s="3">
        <v>193.6</v>
      </c>
      <c r="AL607" s="3">
        <v>153.0</v>
      </c>
      <c r="AM607" s="3">
        <v>76.6</v>
      </c>
      <c r="AN607" s="3">
        <v>199.3</v>
      </c>
      <c r="AO607" s="3">
        <v>37.18</v>
      </c>
      <c r="AP607" s="3">
        <v>40.0</v>
      </c>
      <c r="AQ607" s="3">
        <v>38.0</v>
      </c>
      <c r="AR607" s="3">
        <v>20.0</v>
      </c>
      <c r="AS607" s="3">
        <v>26.23</v>
      </c>
      <c r="AT607" s="3">
        <v>47.0</v>
      </c>
      <c r="AU607" s="3">
        <v>32.0</v>
      </c>
      <c r="AV607" s="3">
        <v>24.99</v>
      </c>
    </row>
    <row r="608" ht="15.75" customHeight="1">
      <c r="A608" s="2" t="s">
        <v>57</v>
      </c>
      <c r="B608" s="3">
        <v>34.82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>
      <c r="A614" s="2" t="s">
        <v>2</v>
      </c>
      <c r="B614" s="2">
        <v>2533.91</v>
      </c>
    </row>
    <row r="615" ht="15.75" customHeight="1"/>
    <row r="616" ht="15.75" customHeight="1">
      <c r="A616" s="2" t="s">
        <v>80</v>
      </c>
    </row>
    <row r="617" ht="15.75" customHeight="1">
      <c r="A617" s="2" t="s">
        <v>0</v>
      </c>
      <c r="B617" s="3">
        <v>17.12</v>
      </c>
      <c r="C617" s="3">
        <v>22.33</v>
      </c>
      <c r="D617" s="3">
        <v>22.0</v>
      </c>
      <c r="E617" s="3">
        <v>59.99</v>
      </c>
      <c r="F617" s="3">
        <v>12.0</v>
      </c>
      <c r="G617" s="3">
        <v>82.5</v>
      </c>
      <c r="H617" s="3">
        <v>13.51</v>
      </c>
      <c r="I617" s="3">
        <v>66.5</v>
      </c>
      <c r="J617" s="3">
        <v>132.5</v>
      </c>
      <c r="K617" s="3">
        <v>26.23</v>
      </c>
      <c r="L617" s="3">
        <v>24.47</v>
      </c>
      <c r="M617" s="3">
        <v>53.0</v>
      </c>
      <c r="N617" s="3">
        <v>57.8</v>
      </c>
      <c r="O617" s="3">
        <v>55.0</v>
      </c>
      <c r="P617" s="3">
        <v>185.3</v>
      </c>
      <c r="Q617" s="3">
        <v>152.46</v>
      </c>
      <c r="R617" s="3">
        <v>144.0</v>
      </c>
      <c r="S617" s="3">
        <v>88.0</v>
      </c>
      <c r="T617" s="3">
        <v>46.0</v>
      </c>
      <c r="U617" s="3">
        <v>61.76</v>
      </c>
      <c r="V617" s="3">
        <v>165.0</v>
      </c>
      <c r="W617" s="3">
        <v>57.0</v>
      </c>
      <c r="X617" s="3">
        <v>79.8</v>
      </c>
      <c r="Y617" s="3">
        <v>113.34</v>
      </c>
      <c r="Z617" s="3">
        <v>81.07</v>
      </c>
      <c r="AA617" s="3">
        <v>38.0</v>
      </c>
      <c r="AB617" s="3">
        <v>46.0</v>
      </c>
      <c r="AC617" s="3">
        <v>42.22</v>
      </c>
      <c r="AD617" s="3">
        <v>80.64</v>
      </c>
      <c r="AE617" s="3">
        <v>29.75</v>
      </c>
      <c r="AF617" s="3">
        <v>61.9</v>
      </c>
      <c r="AG617" s="3">
        <v>17.6</v>
      </c>
      <c r="AH617" s="3">
        <v>38.73</v>
      </c>
      <c r="AI617" s="3">
        <v>24.99</v>
      </c>
      <c r="AJ617" s="3">
        <v>37.0</v>
      </c>
      <c r="AK617" s="3">
        <v>21.96</v>
      </c>
      <c r="AL617" s="3">
        <v>40.09</v>
      </c>
      <c r="AM617" s="3">
        <v>29.5</v>
      </c>
      <c r="AN617" s="3">
        <v>20.0</v>
      </c>
      <c r="AO617" s="3">
        <v>32.0</v>
      </c>
      <c r="AP617" s="3">
        <v>25.0</v>
      </c>
      <c r="AQ617" s="3">
        <v>48.16</v>
      </c>
      <c r="AR617" s="3">
        <v>38.0</v>
      </c>
      <c r="AS617" s="3">
        <v>70.0</v>
      </c>
      <c r="AT617" s="3">
        <v>150.0</v>
      </c>
      <c r="AU617" s="3">
        <v>15.65</v>
      </c>
    </row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>
      <c r="A623" s="2" t="s">
        <v>2</v>
      </c>
      <c r="B623" s="2">
        <v>2725.87</v>
      </c>
    </row>
    <row r="624" ht="15.75" customHeight="1"/>
    <row r="625" ht="15.75" customHeight="1">
      <c r="A625" s="2" t="s">
        <v>81</v>
      </c>
    </row>
    <row r="626" ht="15.75" customHeight="1">
      <c r="A626" s="2" t="s">
        <v>0</v>
      </c>
      <c r="B626" s="3">
        <v>22.33</v>
      </c>
      <c r="C626" s="3">
        <v>22.0</v>
      </c>
      <c r="D626" s="3">
        <v>59.99</v>
      </c>
      <c r="E626" s="3">
        <v>12.0</v>
      </c>
      <c r="F626" s="3">
        <v>82.5</v>
      </c>
      <c r="G626" s="3">
        <v>66.5</v>
      </c>
      <c r="H626" s="3">
        <v>13.51</v>
      </c>
      <c r="I626" s="3">
        <v>26.23</v>
      </c>
      <c r="J626" s="3">
        <v>48.0</v>
      </c>
      <c r="K626" s="3">
        <v>62.0</v>
      </c>
      <c r="L626" s="3">
        <v>32.0</v>
      </c>
      <c r="M626" s="3">
        <v>16.0</v>
      </c>
      <c r="N626" s="3">
        <v>113.34</v>
      </c>
      <c r="O626" s="3">
        <v>25.0</v>
      </c>
      <c r="P626" s="3">
        <v>25.0</v>
      </c>
      <c r="Q626" s="3">
        <v>16.0</v>
      </c>
      <c r="R626" s="3">
        <v>30.14</v>
      </c>
      <c r="S626" s="3">
        <v>29.13</v>
      </c>
      <c r="T626" s="3">
        <v>69.19</v>
      </c>
      <c r="U626" s="3">
        <v>5.0</v>
      </c>
      <c r="V626" s="3">
        <v>40.0</v>
      </c>
      <c r="W626" s="3">
        <v>24.0</v>
      </c>
      <c r="X626" s="3">
        <v>12.5</v>
      </c>
      <c r="Y626" s="3">
        <v>46.0</v>
      </c>
      <c r="Z626" s="3">
        <v>124.3</v>
      </c>
      <c r="AA626" s="3">
        <v>103.0</v>
      </c>
      <c r="AB626" s="3">
        <v>10.0</v>
      </c>
      <c r="AC626" s="3">
        <v>76.7</v>
      </c>
      <c r="AD626" s="3">
        <v>21.02</v>
      </c>
      <c r="AE626" s="3">
        <v>36.15</v>
      </c>
      <c r="AF626" s="3">
        <v>115.47</v>
      </c>
      <c r="AG626" s="3">
        <v>95.0</v>
      </c>
      <c r="AH626" s="3">
        <v>75.9</v>
      </c>
      <c r="AI626" s="3">
        <v>79.09</v>
      </c>
      <c r="AJ626" s="3">
        <v>62.57</v>
      </c>
      <c r="AK626" s="3">
        <v>123.2</v>
      </c>
      <c r="AL626" s="3">
        <v>4.0</v>
      </c>
      <c r="AM626" s="3">
        <v>39.0</v>
      </c>
      <c r="AN626" s="3">
        <v>22.9</v>
      </c>
      <c r="AO626" s="3">
        <v>7.0</v>
      </c>
      <c r="AP626" s="3">
        <v>41.57</v>
      </c>
      <c r="AQ626" s="3">
        <v>25.0</v>
      </c>
      <c r="AR626" s="3">
        <v>31.47</v>
      </c>
      <c r="AS626" s="3">
        <v>23.88</v>
      </c>
      <c r="AT626" s="3">
        <v>37.37</v>
      </c>
      <c r="AU626" s="3">
        <v>92.0</v>
      </c>
      <c r="AV626" s="3">
        <v>15.0</v>
      </c>
      <c r="AW626" s="3">
        <v>29.5</v>
      </c>
      <c r="AX626" s="3">
        <v>35.88</v>
      </c>
      <c r="AY626" s="3">
        <v>76.37</v>
      </c>
      <c r="AZ626" s="3">
        <v>19.99</v>
      </c>
      <c r="BA626" s="3">
        <v>39.98</v>
      </c>
      <c r="BB626" s="3">
        <v>24.99</v>
      </c>
    </row>
    <row r="627" ht="15.75" customHeight="1">
      <c r="A627" s="2" t="s">
        <v>82</v>
      </c>
      <c r="B627" s="3">
        <v>270.0</v>
      </c>
    </row>
    <row r="628" ht="15.75" customHeight="1"/>
    <row r="629" ht="15.75" customHeight="1"/>
    <row r="630" ht="15.75" customHeight="1"/>
    <row r="631" ht="15.75" customHeight="1"/>
    <row r="632" ht="15.75" customHeight="1">
      <c r="A632" s="2" t="s">
        <v>1</v>
      </c>
      <c r="B632" s="2">
        <v>2386.66</v>
      </c>
    </row>
    <row r="633" ht="15.75" customHeight="1"/>
    <row r="634" ht="15.75" customHeight="1">
      <c r="A634" s="2" t="s">
        <v>35</v>
      </c>
    </row>
    <row r="635" ht="15.75" customHeight="1">
      <c r="A635" s="2" t="s">
        <v>0</v>
      </c>
      <c r="B635" s="3">
        <v>22.0</v>
      </c>
      <c r="C635" s="3">
        <v>59.99</v>
      </c>
      <c r="D635" s="3">
        <v>12.0</v>
      </c>
      <c r="E635" s="3">
        <v>82.5</v>
      </c>
      <c r="F635" s="3">
        <v>13.51</v>
      </c>
      <c r="G635" s="2">
        <v>22.33</v>
      </c>
      <c r="H635" s="3">
        <v>113.34</v>
      </c>
      <c r="I635" s="3">
        <v>29.13</v>
      </c>
      <c r="J635" s="3">
        <v>236.17</v>
      </c>
      <c r="K635" s="3">
        <v>53.0</v>
      </c>
      <c r="L635" s="3">
        <v>27.98</v>
      </c>
      <c r="M635" s="3">
        <v>29.97</v>
      </c>
      <c r="N635" s="3">
        <v>29.95</v>
      </c>
      <c r="O635" s="3">
        <v>71.0</v>
      </c>
      <c r="P635" s="3">
        <v>189.0</v>
      </c>
      <c r="Q635" s="3">
        <v>46.0</v>
      </c>
      <c r="R635" s="3">
        <v>26.8</v>
      </c>
      <c r="S635" s="3">
        <v>35.88</v>
      </c>
      <c r="T635" s="3">
        <v>16.0</v>
      </c>
      <c r="U635" s="3">
        <v>10.0</v>
      </c>
      <c r="V635" s="3">
        <v>44.0</v>
      </c>
      <c r="W635" s="3">
        <v>42.48</v>
      </c>
      <c r="X635" s="3">
        <v>56.4</v>
      </c>
      <c r="Y635" s="3">
        <v>20.5</v>
      </c>
      <c r="Z635" s="3">
        <v>16.75</v>
      </c>
      <c r="AA635" s="3">
        <v>103.0</v>
      </c>
      <c r="AB635" s="3">
        <v>12.88</v>
      </c>
      <c r="AC635" s="3">
        <v>150.0</v>
      </c>
      <c r="AD635" s="3">
        <v>31.5</v>
      </c>
      <c r="AE635" s="3">
        <v>16.32</v>
      </c>
      <c r="AF635" s="3">
        <v>26.18</v>
      </c>
      <c r="AG635" s="3">
        <v>5.0</v>
      </c>
      <c r="AH635" s="3">
        <v>38.44</v>
      </c>
      <c r="AI635" s="3">
        <v>20.0</v>
      </c>
      <c r="AJ635" s="3">
        <v>178.3</v>
      </c>
      <c r="AK635" s="3">
        <v>45.56</v>
      </c>
      <c r="AL635" s="3">
        <v>24.0</v>
      </c>
      <c r="AM635" s="3">
        <v>20.0</v>
      </c>
      <c r="AN635" s="3">
        <v>34.76</v>
      </c>
      <c r="AO635" s="3">
        <v>88.8</v>
      </c>
      <c r="AP635" s="3">
        <v>45.0</v>
      </c>
      <c r="AQ635" s="3">
        <v>136.4</v>
      </c>
      <c r="AR635" s="3">
        <v>54.0</v>
      </c>
      <c r="AS635" s="3">
        <v>20.0</v>
      </c>
      <c r="AT635" s="3">
        <v>106.85</v>
      </c>
      <c r="AU635" s="3">
        <v>10.0</v>
      </c>
      <c r="AV635" s="3">
        <v>29.8</v>
      </c>
      <c r="AW635" s="3">
        <v>18.0</v>
      </c>
      <c r="AX635" s="3">
        <v>45.5</v>
      </c>
      <c r="AY635" s="3">
        <v>20.0</v>
      </c>
      <c r="AZ635" s="3">
        <v>92.0</v>
      </c>
      <c r="BA635" s="3">
        <v>35.88</v>
      </c>
      <c r="BB635" s="3">
        <v>33.64</v>
      </c>
      <c r="BC635" s="3">
        <v>46.0</v>
      </c>
      <c r="BD635" s="3">
        <v>48.99</v>
      </c>
      <c r="BE635" s="3">
        <v>39.3</v>
      </c>
      <c r="BF635" s="3">
        <v>5.0</v>
      </c>
      <c r="BG635" s="3">
        <v>23.87</v>
      </c>
      <c r="BH635" s="3">
        <v>49.99</v>
      </c>
      <c r="BI635" s="3">
        <v>12.93</v>
      </c>
      <c r="BJ635" s="3">
        <v>26.07</v>
      </c>
      <c r="BK635" s="3">
        <v>3.0</v>
      </c>
      <c r="BL635" s="3">
        <v>22.17</v>
      </c>
      <c r="BM635" s="3">
        <v>25.78</v>
      </c>
      <c r="BN635" s="3">
        <v>1.0</v>
      </c>
      <c r="BO635" s="3">
        <v>32.01</v>
      </c>
      <c r="BP635" s="3">
        <v>19.33</v>
      </c>
      <c r="BQ635" s="3">
        <v>13.23</v>
      </c>
      <c r="BR635" s="3">
        <v>270.0</v>
      </c>
      <c r="BS635" s="3">
        <v>25.08</v>
      </c>
      <c r="BT635" s="3">
        <v>59.9</v>
      </c>
      <c r="BU635" s="3">
        <v>35.0</v>
      </c>
      <c r="BV635" s="3">
        <v>16.8</v>
      </c>
      <c r="BW635" s="3">
        <v>13.0</v>
      </c>
      <c r="BX635" s="3">
        <v>14.0</v>
      </c>
      <c r="BY635" s="3">
        <v>79.8</v>
      </c>
      <c r="BZ635" s="3">
        <v>80.0</v>
      </c>
      <c r="CA635" s="3">
        <v>77.34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>
      <c r="B641" s="2">
        <f>SUM(B635:CE640)</f>
        <v>3788.08</v>
      </c>
    </row>
    <row r="642" ht="15.75" customHeight="1">
      <c r="A642" s="2" t="s">
        <v>1</v>
      </c>
    </row>
    <row r="643" ht="15.75" customHeight="1"/>
    <row r="644" ht="15.75" customHeight="1">
      <c r="A644" s="2" t="s">
        <v>36</v>
      </c>
    </row>
    <row r="645" ht="15.75" customHeight="1">
      <c r="A645" s="2" t="s">
        <v>0</v>
      </c>
      <c r="B645" s="3">
        <v>12.0</v>
      </c>
      <c r="C645" s="3">
        <v>82.5</v>
      </c>
      <c r="D645" s="3">
        <v>59.99</v>
      </c>
      <c r="E645" s="3">
        <v>13.51</v>
      </c>
      <c r="F645" s="3">
        <v>79.8</v>
      </c>
      <c r="G645" s="3">
        <v>29.13</v>
      </c>
      <c r="H645" s="3">
        <v>27.98</v>
      </c>
      <c r="I645" s="3">
        <v>29.95</v>
      </c>
      <c r="J645" s="3">
        <v>45.0</v>
      </c>
      <c r="K645" s="3">
        <v>136.4</v>
      </c>
      <c r="L645" s="3">
        <v>4.0</v>
      </c>
      <c r="M645" s="3">
        <v>47.0</v>
      </c>
      <c r="N645" s="3">
        <v>18.0</v>
      </c>
      <c r="O645" s="3">
        <v>184.8</v>
      </c>
      <c r="P645" s="3">
        <v>61.75</v>
      </c>
      <c r="Q645" s="3">
        <v>22.0</v>
      </c>
      <c r="R645" s="3">
        <v>46.0</v>
      </c>
      <c r="S645" s="3">
        <v>28.15</v>
      </c>
      <c r="T645" s="3">
        <v>46.67</v>
      </c>
      <c r="U645" s="3">
        <v>16.8</v>
      </c>
      <c r="V645" s="3">
        <v>13.0</v>
      </c>
      <c r="W645" s="3">
        <v>64.9</v>
      </c>
      <c r="X645" s="3">
        <v>112.0</v>
      </c>
      <c r="Y645" s="3">
        <v>85.9</v>
      </c>
      <c r="Z645" s="3">
        <v>50.0</v>
      </c>
      <c r="AA645" s="3">
        <v>82.45</v>
      </c>
      <c r="AB645" s="3">
        <v>39.92</v>
      </c>
      <c r="AC645" s="3">
        <v>26.94</v>
      </c>
      <c r="AD645" s="3">
        <v>64.25</v>
      </c>
      <c r="AE645" s="3">
        <v>39.75</v>
      </c>
      <c r="AF645" s="3">
        <v>160.8</v>
      </c>
      <c r="AG645" s="3">
        <v>46.31</v>
      </c>
      <c r="AH645" s="3">
        <v>40.0</v>
      </c>
      <c r="AI645" s="3">
        <v>43.0</v>
      </c>
      <c r="AJ645" s="3">
        <v>40.0</v>
      </c>
      <c r="AK645" s="3">
        <v>139.74</v>
      </c>
      <c r="AL645" s="3">
        <v>46.75</v>
      </c>
      <c r="AM645" s="3">
        <v>38.96</v>
      </c>
      <c r="AN645" s="3">
        <v>21.82</v>
      </c>
      <c r="AO645" s="3">
        <v>7.0</v>
      </c>
      <c r="AP645" s="3">
        <v>135.3</v>
      </c>
      <c r="AQ645" s="3">
        <v>26.0</v>
      </c>
      <c r="AR645" s="3">
        <v>90.2</v>
      </c>
      <c r="AS645" s="3">
        <v>120.99</v>
      </c>
      <c r="AT645" s="3">
        <v>24.57</v>
      </c>
      <c r="AU645" s="3">
        <v>5.0</v>
      </c>
      <c r="AV645" s="3">
        <v>42.72</v>
      </c>
      <c r="AW645" s="3">
        <v>40.7</v>
      </c>
      <c r="AX645" s="3">
        <v>65.0</v>
      </c>
      <c r="AY645" s="3">
        <v>22.0</v>
      </c>
      <c r="AZ645" s="3">
        <v>25.0</v>
      </c>
      <c r="BA645" s="3">
        <v>86.45</v>
      </c>
      <c r="BB645" s="3">
        <v>105.0</v>
      </c>
      <c r="BC645" s="3">
        <v>50.8</v>
      </c>
      <c r="BD645" s="3">
        <v>229.55</v>
      </c>
      <c r="BE645" s="3">
        <v>25.08</v>
      </c>
      <c r="BF645" s="3">
        <v>81.79</v>
      </c>
      <c r="BG645" s="3">
        <v>15.43</v>
      </c>
      <c r="BH645" s="3">
        <v>48.0</v>
      </c>
      <c r="BI645" s="3">
        <v>87.0</v>
      </c>
      <c r="BJ645" s="3">
        <v>40.74</v>
      </c>
      <c r="BK645" s="3">
        <v>4.0</v>
      </c>
    </row>
    <row r="646" ht="15.75" customHeight="1">
      <c r="A646" s="2" t="s">
        <v>83</v>
      </c>
      <c r="B646" s="3">
        <v>20.53</v>
      </c>
    </row>
    <row r="647" ht="15.75" customHeight="1"/>
    <row r="648" ht="15.75" customHeight="1"/>
    <row r="649" ht="15.75" customHeight="1"/>
    <row r="650" ht="15.75" customHeight="1"/>
    <row r="651" ht="15.75" customHeight="1">
      <c r="A651" s="2" t="s">
        <v>1</v>
      </c>
      <c r="B651" s="2">
        <f>SUM(B645:CK650)</f>
        <v>3546.77</v>
      </c>
    </row>
    <row r="652" ht="15.75" customHeight="1"/>
    <row r="653" ht="15.75" customHeight="1">
      <c r="A653" s="2" t="s">
        <v>25</v>
      </c>
    </row>
    <row r="654" ht="15.75" customHeight="1">
      <c r="A654" s="2" t="s">
        <v>0</v>
      </c>
      <c r="B654" s="3">
        <v>82.5</v>
      </c>
      <c r="C654" s="3">
        <v>59.99</v>
      </c>
      <c r="D654" s="3">
        <v>13.51</v>
      </c>
      <c r="E654" s="3">
        <v>29.13</v>
      </c>
      <c r="F654" s="3">
        <v>27.98</v>
      </c>
      <c r="G654" s="3">
        <v>136.4</v>
      </c>
      <c r="H654" s="3">
        <v>16.8</v>
      </c>
      <c r="I654" s="3">
        <v>13.0</v>
      </c>
      <c r="J654" s="3">
        <v>229.55</v>
      </c>
      <c r="K654" s="3">
        <v>15.43</v>
      </c>
      <c r="L654" s="3">
        <v>40.74</v>
      </c>
      <c r="M654" s="3">
        <v>25.1</v>
      </c>
      <c r="N654" s="3">
        <v>143.88</v>
      </c>
      <c r="O654" s="3">
        <v>30.5</v>
      </c>
      <c r="P654" s="3">
        <v>30.83</v>
      </c>
      <c r="Q654" s="3">
        <v>40.0</v>
      </c>
      <c r="R654" s="3">
        <v>28.0</v>
      </c>
      <c r="S654" s="3">
        <v>52.0</v>
      </c>
      <c r="T654" s="3">
        <v>17.97</v>
      </c>
      <c r="U654" s="3">
        <v>47.86</v>
      </c>
      <c r="V654" s="3">
        <v>48.94</v>
      </c>
      <c r="W654" s="3">
        <v>65.0</v>
      </c>
      <c r="X654" s="3">
        <v>23.0</v>
      </c>
      <c r="Y654" s="3">
        <v>28.98</v>
      </c>
      <c r="Z654" s="3">
        <v>91.0</v>
      </c>
      <c r="AA654" s="3">
        <v>56.25</v>
      </c>
      <c r="AB654" s="3">
        <v>24.0</v>
      </c>
      <c r="AC654" s="3">
        <v>72.8</v>
      </c>
      <c r="AD654" s="3">
        <v>41.47</v>
      </c>
      <c r="AE654" s="3">
        <v>43.06</v>
      </c>
      <c r="AF654" s="3">
        <v>105.0</v>
      </c>
      <c r="AG654" s="3">
        <v>29.4</v>
      </c>
      <c r="AH654" s="3">
        <v>5.0</v>
      </c>
      <c r="AI654" s="3">
        <v>59.0</v>
      </c>
      <c r="AJ654" s="3">
        <v>40.0</v>
      </c>
      <c r="AK654" s="3">
        <v>35.0</v>
      </c>
      <c r="AL654" s="3">
        <v>13.0</v>
      </c>
      <c r="AM654" s="3">
        <v>40.0</v>
      </c>
      <c r="AN654" s="3">
        <v>44.26</v>
      </c>
      <c r="AO654" s="3">
        <v>18.0</v>
      </c>
      <c r="AP654" s="3">
        <v>40.02</v>
      </c>
      <c r="AQ654" s="3">
        <v>149.76</v>
      </c>
      <c r="AR654" s="3">
        <v>83.1</v>
      </c>
      <c r="AS654" s="3">
        <v>24.99</v>
      </c>
      <c r="AT654" s="3">
        <v>34.35</v>
      </c>
      <c r="AU654" s="3">
        <v>4.0</v>
      </c>
      <c r="AV654" s="3">
        <v>18.98</v>
      </c>
      <c r="AW654" s="3">
        <v>38.07</v>
      </c>
      <c r="AX654" s="3">
        <v>15.56</v>
      </c>
      <c r="AY654" s="3">
        <v>86.0</v>
      </c>
      <c r="AZ654" s="3">
        <v>31.39</v>
      </c>
      <c r="BA654" s="3">
        <v>36.17</v>
      </c>
    </row>
    <row r="655" ht="15.75" customHeight="1">
      <c r="A655" s="2" t="s">
        <v>83</v>
      </c>
      <c r="B655" s="3">
        <v>20.53</v>
      </c>
    </row>
    <row r="656" ht="15.75" customHeight="1"/>
    <row r="657" ht="15.75" customHeight="1"/>
    <row r="658" ht="15.75" customHeight="1"/>
    <row r="659" ht="15.75" customHeight="1"/>
    <row r="660" ht="15.75" customHeight="1">
      <c r="A660" s="2" t="s">
        <v>1</v>
      </c>
      <c r="B660" s="2">
        <f>SUM(B654:BP659)</f>
        <v>2547.25</v>
      </c>
    </row>
    <row r="661" ht="15.75" customHeight="1"/>
    <row r="662" ht="15.75" customHeight="1">
      <c r="A662" s="2" t="s">
        <v>84</v>
      </c>
    </row>
    <row r="663" ht="15.75" customHeight="1">
      <c r="A663" s="2" t="s">
        <v>0</v>
      </c>
      <c r="B663" s="3">
        <v>13.51</v>
      </c>
      <c r="C663" s="3">
        <v>29.13</v>
      </c>
      <c r="D663" s="3">
        <v>27.98</v>
      </c>
      <c r="E663" s="3">
        <v>136.4</v>
      </c>
      <c r="F663" s="3">
        <v>13.0</v>
      </c>
      <c r="G663" s="3">
        <v>229.55</v>
      </c>
      <c r="H663" s="3">
        <v>15.43</v>
      </c>
      <c r="I663" s="3">
        <v>40.74</v>
      </c>
      <c r="J663" s="3">
        <v>49.13</v>
      </c>
      <c r="K663" s="3">
        <v>80.0</v>
      </c>
      <c r="L663" s="3">
        <v>60.5</v>
      </c>
      <c r="M663" s="3">
        <v>19.5</v>
      </c>
      <c r="N663" s="3">
        <v>23.0</v>
      </c>
      <c r="O663" s="3">
        <v>86.0</v>
      </c>
      <c r="P663" s="3">
        <v>26.6</v>
      </c>
      <c r="Q663" s="3">
        <v>221.1</v>
      </c>
      <c r="R663" s="3">
        <v>41.8</v>
      </c>
      <c r="S663" s="3">
        <v>40.0</v>
      </c>
      <c r="T663" s="3">
        <v>138.93</v>
      </c>
      <c r="U663" s="3">
        <v>22.0</v>
      </c>
      <c r="V663" s="3">
        <v>22.0</v>
      </c>
      <c r="W663" s="3">
        <v>48.0</v>
      </c>
      <c r="X663" s="3">
        <v>87.8</v>
      </c>
      <c r="Y663" s="3">
        <v>55.0</v>
      </c>
      <c r="Z663" s="3">
        <v>38.0</v>
      </c>
      <c r="AA663" s="3">
        <v>5.0</v>
      </c>
      <c r="AB663" s="3">
        <v>13.0</v>
      </c>
      <c r="AC663" s="3">
        <v>32.93</v>
      </c>
      <c r="AD663" s="3">
        <v>40.5</v>
      </c>
      <c r="AE663" s="3">
        <v>104.0</v>
      </c>
      <c r="AF663" s="3">
        <v>35.0</v>
      </c>
      <c r="AG663" s="3">
        <v>24.5</v>
      </c>
      <c r="AH663" s="3">
        <v>91.0</v>
      </c>
      <c r="AI663" s="3">
        <v>35.8</v>
      </c>
      <c r="AJ663" s="3">
        <v>64.73</v>
      </c>
      <c r="AK663" s="3">
        <v>5.0</v>
      </c>
      <c r="AL663" s="3">
        <v>66.0</v>
      </c>
      <c r="AM663" s="3">
        <v>42.36</v>
      </c>
      <c r="AN663" s="3">
        <v>67.34</v>
      </c>
      <c r="AO663" s="3">
        <v>46.46</v>
      </c>
      <c r="AP663" s="3">
        <v>82.11</v>
      </c>
      <c r="AQ663" s="3">
        <v>28.92</v>
      </c>
      <c r="AR663" s="3">
        <v>15.58</v>
      </c>
      <c r="AS663" s="3">
        <v>153.1</v>
      </c>
      <c r="AT663" s="3">
        <v>190.96</v>
      </c>
      <c r="AU663" s="3">
        <v>33.66</v>
      </c>
      <c r="AV663" s="3">
        <v>130.9</v>
      </c>
      <c r="AW663" s="3">
        <v>59.99</v>
      </c>
      <c r="AX663" s="3">
        <v>32.44</v>
      </c>
      <c r="AY663" s="3">
        <v>40.9</v>
      </c>
      <c r="AZ663" s="3">
        <v>40.0</v>
      </c>
      <c r="BA663" s="3">
        <v>19.0</v>
      </c>
      <c r="BB663" s="3">
        <v>13.0</v>
      </c>
      <c r="BC663" s="3">
        <v>161.7</v>
      </c>
      <c r="BD663" s="3">
        <v>48.05</v>
      </c>
      <c r="BE663" s="3">
        <v>22.28</v>
      </c>
      <c r="BF663" s="3">
        <v>28.19</v>
      </c>
      <c r="BG663" s="3">
        <v>23.96</v>
      </c>
      <c r="BH663" s="3">
        <v>48.0</v>
      </c>
      <c r="BI663" s="3">
        <v>24.99</v>
      </c>
      <c r="BJ663" s="3">
        <v>36.9</v>
      </c>
      <c r="BK663" s="3">
        <v>18.17</v>
      </c>
      <c r="BL663" s="3">
        <v>39.98</v>
      </c>
    </row>
    <row r="664" ht="15.75" customHeight="1">
      <c r="A664" s="2" t="s">
        <v>83</v>
      </c>
      <c r="B664" s="3">
        <v>20.53</v>
      </c>
    </row>
    <row r="665" ht="15.75" customHeight="1"/>
    <row r="666" ht="15.75" customHeight="1"/>
    <row r="667" ht="15.75" customHeight="1"/>
    <row r="668" ht="15.75" customHeight="1"/>
    <row r="669" ht="15.75" customHeight="1">
      <c r="A669" s="2" t="s">
        <v>1</v>
      </c>
      <c r="B669" s="2">
        <f>SUM(B663:CO668)</f>
        <v>3552.03</v>
      </c>
    </row>
    <row r="670" ht="15.75" customHeight="1"/>
    <row r="671" ht="15.75" customHeight="1">
      <c r="A671" s="2" t="s">
        <v>85</v>
      </c>
    </row>
    <row r="672" ht="15.75" customHeight="1">
      <c r="A672" s="2" t="s">
        <v>0</v>
      </c>
      <c r="B672" s="3">
        <v>13.51</v>
      </c>
      <c r="C672" s="3">
        <v>27.98</v>
      </c>
      <c r="D672" s="3">
        <v>136.4</v>
      </c>
      <c r="E672" s="3">
        <v>13.0</v>
      </c>
      <c r="F672" s="3">
        <v>229.55</v>
      </c>
      <c r="G672" s="3">
        <v>15.43</v>
      </c>
      <c r="H672" s="3">
        <v>40.74</v>
      </c>
      <c r="I672" s="3">
        <v>86.0</v>
      </c>
      <c r="J672" s="3">
        <v>26.6</v>
      </c>
      <c r="K672" s="3">
        <v>67.34</v>
      </c>
      <c r="L672" s="3">
        <v>59.99</v>
      </c>
      <c r="M672" s="3">
        <v>64.0</v>
      </c>
      <c r="N672" s="3">
        <v>44.0</v>
      </c>
      <c r="O672" s="3">
        <v>40.0</v>
      </c>
      <c r="P672" s="3">
        <v>41.48</v>
      </c>
      <c r="Q672" s="3">
        <v>40.0</v>
      </c>
      <c r="R672" s="3">
        <v>51.0</v>
      </c>
      <c r="S672" s="3">
        <v>77.7</v>
      </c>
      <c r="T672" s="3">
        <v>65.4</v>
      </c>
      <c r="U672" s="3">
        <v>79.8</v>
      </c>
      <c r="V672" s="3">
        <v>23.0</v>
      </c>
      <c r="W672" s="3">
        <v>46.0</v>
      </c>
      <c r="X672" s="3">
        <v>30.0</v>
      </c>
      <c r="Y672" s="3">
        <v>72.0</v>
      </c>
      <c r="Z672" s="3">
        <v>22.0</v>
      </c>
      <c r="AA672" s="3">
        <v>194.68</v>
      </c>
      <c r="AB672" s="3">
        <v>65.0</v>
      </c>
      <c r="AC672" s="3">
        <v>21.0</v>
      </c>
      <c r="AD672" s="3">
        <v>100.0</v>
      </c>
      <c r="AE672" s="3">
        <v>37.0</v>
      </c>
      <c r="AF672" s="3">
        <v>80.9</v>
      </c>
      <c r="AG672" s="3">
        <v>38.15</v>
      </c>
      <c r="AH672" s="3">
        <v>129.99</v>
      </c>
      <c r="AI672" s="3">
        <v>90.0</v>
      </c>
      <c r="AJ672" s="3">
        <v>41.59</v>
      </c>
      <c r="AK672" s="3">
        <v>43.5</v>
      </c>
      <c r="AL672" s="3">
        <v>20.4</v>
      </c>
      <c r="AM672" s="3">
        <v>39.9</v>
      </c>
      <c r="AN672" s="3">
        <v>152.13</v>
      </c>
      <c r="AO672" s="3">
        <v>25.08</v>
      </c>
      <c r="AP672" s="3">
        <v>18.91</v>
      </c>
      <c r="AQ672" s="3">
        <v>40.22</v>
      </c>
      <c r="AR672" s="3">
        <v>24.99</v>
      </c>
      <c r="AS672" s="3">
        <v>20.89</v>
      </c>
      <c r="AT672" s="3">
        <v>12.3</v>
      </c>
      <c r="AU672" s="3">
        <v>48.0</v>
      </c>
      <c r="AV672" s="3">
        <v>81.0</v>
      </c>
      <c r="AW672" s="3">
        <v>46.71</v>
      </c>
      <c r="AX672" s="3">
        <v>43.15</v>
      </c>
      <c r="AY672" s="3">
        <v>17.68</v>
      </c>
      <c r="AZ672" s="3">
        <v>20.88</v>
      </c>
      <c r="BA672" s="3">
        <v>25.09</v>
      </c>
    </row>
    <row r="673" ht="15.75" customHeight="1">
      <c r="A673" s="2" t="s">
        <v>83</v>
      </c>
      <c r="B673" s="3">
        <v>20.53</v>
      </c>
    </row>
    <row r="674" ht="15.75" customHeight="1">
      <c r="A674" s="2" t="s">
        <v>86</v>
      </c>
    </row>
    <row r="675" ht="15.75" customHeight="1">
      <c r="A675" s="2" t="s">
        <v>87</v>
      </c>
    </row>
    <row r="676" ht="15.75" customHeight="1">
      <c r="A676" s="2" t="s">
        <v>88</v>
      </c>
    </row>
    <row r="677" ht="15.75" customHeight="1">
      <c r="A677" s="2" t="s">
        <v>89</v>
      </c>
    </row>
    <row r="678" ht="15.75" customHeight="1">
      <c r="A678" s="2" t="s">
        <v>90</v>
      </c>
    </row>
    <row r="679" ht="15.75" customHeight="1">
      <c r="A679" s="29" t="s">
        <v>1</v>
      </c>
      <c r="B679" s="29">
        <f>SUM(B672:BU678)</f>
        <v>2912.59</v>
      </c>
    </row>
    <row r="680" ht="15.75" customHeight="1">
      <c r="A680" s="2" t="s">
        <v>37</v>
      </c>
    </row>
    <row r="681" ht="15.75" customHeight="1">
      <c r="A681" s="3" t="s">
        <v>0</v>
      </c>
      <c r="B681" s="3">
        <v>13.51</v>
      </c>
      <c r="C681" s="3">
        <v>136.4</v>
      </c>
      <c r="D681" s="3">
        <v>229.55</v>
      </c>
      <c r="E681" s="3">
        <v>15.43</v>
      </c>
      <c r="F681" s="3">
        <v>40.74</v>
      </c>
      <c r="G681" s="3">
        <v>86.0</v>
      </c>
      <c r="H681" s="3">
        <v>26.6</v>
      </c>
      <c r="I681" s="3">
        <v>67.34</v>
      </c>
      <c r="J681" s="3">
        <v>59.99</v>
      </c>
      <c r="K681" s="3">
        <v>17.68</v>
      </c>
      <c r="L681" s="3">
        <v>43.5</v>
      </c>
      <c r="M681" s="30"/>
      <c r="N681" s="3">
        <v>40.0</v>
      </c>
      <c r="O681" s="3">
        <v>223.08</v>
      </c>
      <c r="P681" s="3">
        <v>34.0</v>
      </c>
      <c r="Q681" s="30"/>
      <c r="R681" s="3">
        <v>79.52</v>
      </c>
      <c r="S681" s="3">
        <v>34.0</v>
      </c>
      <c r="T681" s="3">
        <v>47.0</v>
      </c>
      <c r="U681" s="3">
        <v>52.0</v>
      </c>
      <c r="V681" s="3">
        <v>55.78</v>
      </c>
      <c r="W681" s="3">
        <v>7.0</v>
      </c>
      <c r="X681" s="3">
        <v>14.0</v>
      </c>
      <c r="Y681" s="3">
        <v>14.0</v>
      </c>
      <c r="Z681" s="3">
        <v>50.0</v>
      </c>
      <c r="AA681" s="3">
        <v>40.0</v>
      </c>
      <c r="AB681" s="3">
        <v>5.0</v>
      </c>
      <c r="AC681" s="3">
        <v>101.5</v>
      </c>
      <c r="AD681" s="3">
        <v>39.4</v>
      </c>
      <c r="AE681" s="3">
        <v>40.0</v>
      </c>
      <c r="AF681" s="3">
        <v>36.49</v>
      </c>
      <c r="AG681" s="3">
        <v>176.88</v>
      </c>
      <c r="AH681" s="3">
        <v>34.0</v>
      </c>
      <c r="AI681" s="3">
        <v>18.0</v>
      </c>
      <c r="AJ681" s="3">
        <v>20.0</v>
      </c>
      <c r="AK681" s="3">
        <v>20.0</v>
      </c>
      <c r="AL681" s="3">
        <v>144.1</v>
      </c>
      <c r="AM681" s="3">
        <v>88.9</v>
      </c>
      <c r="AN681" s="3">
        <v>50.0</v>
      </c>
      <c r="AO681" s="3">
        <v>55.83</v>
      </c>
      <c r="AP681" s="3">
        <v>16.0</v>
      </c>
      <c r="AQ681" s="3">
        <v>83.16</v>
      </c>
      <c r="AR681" s="3">
        <v>100.0</v>
      </c>
      <c r="AS681" s="31">
        <v>19.73</v>
      </c>
      <c r="AT681" s="3">
        <v>5.99</v>
      </c>
      <c r="AU681" s="3">
        <v>41.78</v>
      </c>
      <c r="AV681" s="3">
        <v>150.18</v>
      </c>
      <c r="AW681" s="3">
        <v>99.94</v>
      </c>
      <c r="AX681" s="3">
        <v>25.08</v>
      </c>
      <c r="AY681" s="3">
        <v>26.0</v>
      </c>
      <c r="AZ681" s="3">
        <v>20.0</v>
      </c>
      <c r="BA681" s="3">
        <v>11.14</v>
      </c>
      <c r="BB681" s="3">
        <v>74.85</v>
      </c>
    </row>
    <row r="682" ht="15.75" customHeight="1">
      <c r="A682" s="2" t="s">
        <v>83</v>
      </c>
      <c r="B682" s="3">
        <v>20.53</v>
      </c>
      <c r="D682" s="2" t="s">
        <v>91</v>
      </c>
    </row>
    <row r="683" ht="15.75" customHeight="1">
      <c r="A683" s="2" t="s">
        <v>86</v>
      </c>
    </row>
    <row r="684" ht="15.75" customHeight="1">
      <c r="A684" s="2" t="s">
        <v>87</v>
      </c>
    </row>
    <row r="685" ht="15.75" customHeight="1">
      <c r="A685" s="2" t="s">
        <v>88</v>
      </c>
    </row>
    <row r="686" ht="15.75" customHeight="1">
      <c r="A686" s="2" t="s">
        <v>89</v>
      </c>
    </row>
    <row r="687" ht="15.75" customHeight="1">
      <c r="A687" s="2" t="s">
        <v>90</v>
      </c>
    </row>
    <row r="688" ht="15.75" customHeight="1">
      <c r="A688" s="29" t="s">
        <v>1</v>
      </c>
      <c r="B688" s="29">
        <f>SUM(B681:CJ687)</f>
        <v>2951.6</v>
      </c>
    </row>
    <row r="689" ht="15.75" customHeight="1">
      <c r="A689" s="2" t="s">
        <v>38</v>
      </c>
    </row>
    <row r="690" ht="15.75" customHeight="1">
      <c r="A690" s="2" t="s">
        <v>0</v>
      </c>
      <c r="B690" s="3">
        <v>136.4</v>
      </c>
      <c r="C690" s="3">
        <v>229.55</v>
      </c>
      <c r="D690" s="3">
        <v>15.43</v>
      </c>
      <c r="E690" s="3">
        <v>40.74</v>
      </c>
      <c r="F690" s="3">
        <v>86.0</v>
      </c>
      <c r="G690" s="3">
        <v>59.99</v>
      </c>
      <c r="H690" s="3">
        <v>17.68</v>
      </c>
      <c r="I690" s="3">
        <v>98.4</v>
      </c>
      <c r="J690" s="3">
        <v>5.0</v>
      </c>
      <c r="K690" s="3">
        <v>79.52</v>
      </c>
      <c r="L690" s="3">
        <v>99.94</v>
      </c>
      <c r="M690" s="3">
        <v>74.85</v>
      </c>
      <c r="N690" s="3">
        <v>75.09</v>
      </c>
      <c r="O690" s="3">
        <v>39.0</v>
      </c>
      <c r="P690" s="3">
        <v>52.5</v>
      </c>
      <c r="Q690" s="3">
        <v>24.0</v>
      </c>
      <c r="R690" s="3">
        <v>181.0</v>
      </c>
      <c r="S690" s="3">
        <v>29.0</v>
      </c>
      <c r="T690" s="3">
        <v>23.0</v>
      </c>
      <c r="U690" s="3">
        <v>70.89</v>
      </c>
      <c r="V690" s="3">
        <v>61.5</v>
      </c>
      <c r="W690" s="3">
        <v>52.43</v>
      </c>
      <c r="X690" s="3">
        <v>20.0</v>
      </c>
      <c r="Y690" s="3">
        <v>32.0</v>
      </c>
      <c r="Z690" s="3">
        <v>35.0</v>
      </c>
      <c r="AA690" s="3">
        <v>25.0</v>
      </c>
      <c r="AB690" s="3">
        <v>37.0</v>
      </c>
      <c r="AC690" s="3">
        <v>50.5</v>
      </c>
      <c r="AD690" s="3">
        <v>5.0</v>
      </c>
      <c r="AE690" s="3">
        <v>29.99</v>
      </c>
      <c r="AF690" s="3">
        <v>48.0</v>
      </c>
      <c r="AG690" s="3">
        <v>157.36</v>
      </c>
      <c r="AH690" s="3">
        <v>23.0</v>
      </c>
      <c r="AI690" s="3">
        <v>64.0</v>
      </c>
      <c r="AJ690" s="3">
        <v>56.04</v>
      </c>
      <c r="AK690" s="3">
        <v>20.0</v>
      </c>
      <c r="AL690" s="3">
        <v>38.0</v>
      </c>
      <c r="AM690" s="3">
        <v>48.97</v>
      </c>
      <c r="AN690" s="3">
        <v>20.0</v>
      </c>
      <c r="AO690" s="3">
        <v>12.0</v>
      </c>
      <c r="AP690" s="3">
        <v>50.0</v>
      </c>
      <c r="AQ690" s="3">
        <v>47.58</v>
      </c>
      <c r="AR690" s="3">
        <v>32.0</v>
      </c>
      <c r="AS690" s="3">
        <v>37.0</v>
      </c>
      <c r="AT690" s="3">
        <v>64.54</v>
      </c>
      <c r="AU690" s="3">
        <v>226.0</v>
      </c>
      <c r="AV690" s="3">
        <v>68.46</v>
      </c>
      <c r="AW690" s="3">
        <v>39.9</v>
      </c>
      <c r="AX690" s="3">
        <v>22.0</v>
      </c>
      <c r="AY690" s="3">
        <v>67.57</v>
      </c>
      <c r="AZ690" s="3">
        <v>5.0</v>
      </c>
      <c r="BA690" s="3">
        <v>49.26</v>
      </c>
      <c r="BB690" s="3">
        <v>25.13</v>
      </c>
      <c r="BC690" s="3">
        <v>33.4</v>
      </c>
      <c r="BD690" s="3">
        <v>25.08</v>
      </c>
      <c r="BE690" s="3">
        <v>23.0</v>
      </c>
      <c r="BF690" s="3">
        <v>23.0</v>
      </c>
      <c r="BG690" s="3">
        <v>23.0</v>
      </c>
    </row>
    <row r="691" ht="15.75" customHeight="1">
      <c r="A691" s="2" t="s">
        <v>83</v>
      </c>
      <c r="B691" s="3">
        <v>20.53</v>
      </c>
    </row>
    <row r="692" ht="15.75" customHeight="1">
      <c r="A692" s="2" t="s">
        <v>86</v>
      </c>
      <c r="D692" s="2" t="s">
        <v>91</v>
      </c>
    </row>
    <row r="693" ht="15.75" customHeight="1">
      <c r="A693" s="2" t="s">
        <v>87</v>
      </c>
    </row>
    <row r="694" ht="15.75" customHeight="1">
      <c r="A694" s="2" t="s">
        <v>88</v>
      </c>
    </row>
    <row r="695" ht="15.75" customHeight="1">
      <c r="A695" s="2" t="s">
        <v>89</v>
      </c>
    </row>
    <row r="696" ht="15.75" customHeight="1">
      <c r="A696" s="2" t="s">
        <v>90</v>
      </c>
    </row>
    <row r="697" ht="15.75" customHeight="1">
      <c r="A697" s="29" t="s">
        <v>1</v>
      </c>
      <c r="B697" s="29">
        <f>SUM(B690:BK696)</f>
        <v>3156.22</v>
      </c>
    </row>
    <row r="698" ht="15.75" customHeight="1">
      <c r="A698" s="2" t="s">
        <v>39</v>
      </c>
    </row>
    <row r="699" ht="15.75" customHeight="1">
      <c r="A699" s="2" t="s">
        <v>0</v>
      </c>
      <c r="B699" s="3">
        <v>136.4</v>
      </c>
      <c r="C699" s="3">
        <v>229.55</v>
      </c>
      <c r="D699" s="3">
        <v>15.43</v>
      </c>
      <c r="E699" s="3">
        <v>40.74</v>
      </c>
      <c r="F699" s="3">
        <v>86.0</v>
      </c>
      <c r="G699" s="3">
        <v>59.99</v>
      </c>
      <c r="H699" s="3">
        <v>99.94</v>
      </c>
      <c r="I699" s="3">
        <v>74.85</v>
      </c>
      <c r="J699" s="3">
        <v>75.09</v>
      </c>
      <c r="K699" s="3">
        <v>48.07</v>
      </c>
      <c r="L699" s="3">
        <v>6.49</v>
      </c>
      <c r="M699" s="3">
        <v>40.0</v>
      </c>
      <c r="N699" s="3">
        <v>44.46</v>
      </c>
      <c r="O699" s="3">
        <v>242.55</v>
      </c>
      <c r="P699" s="3">
        <v>5.0</v>
      </c>
      <c r="Q699" s="3">
        <v>20.3</v>
      </c>
      <c r="R699" s="3">
        <v>20.0</v>
      </c>
      <c r="S699" s="3">
        <v>35.0</v>
      </c>
      <c r="T699" s="3">
        <v>14.03</v>
      </c>
      <c r="U699" s="3">
        <v>14.53</v>
      </c>
      <c r="V699" s="3">
        <v>40.0</v>
      </c>
      <c r="W699" s="3">
        <v>23.0</v>
      </c>
      <c r="X699" s="3">
        <v>22.0</v>
      </c>
      <c r="Y699" s="3">
        <v>28.94</v>
      </c>
      <c r="Z699" s="3">
        <v>25.13</v>
      </c>
      <c r="AA699" s="3">
        <v>33.4</v>
      </c>
      <c r="AB699" s="3">
        <v>40.0</v>
      </c>
      <c r="AC699" s="3">
        <v>20.0</v>
      </c>
      <c r="AD699" s="3">
        <v>70.0</v>
      </c>
      <c r="AE699" s="3">
        <v>44.0</v>
      </c>
      <c r="AF699" s="3">
        <v>32.75</v>
      </c>
      <c r="AG699" s="3">
        <v>83.0</v>
      </c>
      <c r="AH699" s="3">
        <v>77.7</v>
      </c>
      <c r="AI699" s="3">
        <v>32.62</v>
      </c>
      <c r="AJ699" s="3">
        <v>14.29</v>
      </c>
      <c r="AK699" s="3">
        <v>135.89</v>
      </c>
      <c r="AL699" s="3">
        <v>53.04</v>
      </c>
      <c r="AM699" s="3">
        <v>52.49</v>
      </c>
      <c r="AN699" s="3">
        <v>21.45</v>
      </c>
      <c r="AO699" s="3">
        <v>66.5</v>
      </c>
      <c r="AP699" s="3">
        <v>41.88</v>
      </c>
      <c r="AQ699" s="3">
        <v>5.69</v>
      </c>
      <c r="AR699" s="3">
        <v>43.5</v>
      </c>
      <c r="AS699" s="3">
        <v>73.7</v>
      </c>
      <c r="AT699" s="3">
        <v>64.0</v>
      </c>
      <c r="AU699" s="3">
        <v>34.82</v>
      </c>
      <c r="AV699" s="3">
        <v>7.0</v>
      </c>
      <c r="AW699" s="3">
        <v>13.0</v>
      </c>
      <c r="AX699" s="3">
        <v>30.0</v>
      </c>
      <c r="AY699" s="3">
        <v>25.08</v>
      </c>
      <c r="AZ699" s="3">
        <v>40.0</v>
      </c>
      <c r="BA699" s="3">
        <v>26.0</v>
      </c>
      <c r="BB699" s="3">
        <v>53.79</v>
      </c>
      <c r="BC699" s="3">
        <v>82.08</v>
      </c>
      <c r="BD699" s="3">
        <v>20.5</v>
      </c>
      <c r="BE699" s="3">
        <v>30.0</v>
      </c>
      <c r="BF699" s="3">
        <v>37.03</v>
      </c>
      <c r="BG699" s="3">
        <v>24.03</v>
      </c>
    </row>
    <row r="700" ht="15.75" customHeight="1">
      <c r="A700" s="2" t="s">
        <v>83</v>
      </c>
      <c r="B700" s="3">
        <v>20.53</v>
      </c>
      <c r="D700" s="2" t="s">
        <v>92</v>
      </c>
      <c r="E700" s="3">
        <v>100.0</v>
      </c>
    </row>
    <row r="701" ht="15.75" customHeight="1">
      <c r="A701" s="2" t="s">
        <v>86</v>
      </c>
    </row>
    <row r="702" ht="15.75" customHeight="1">
      <c r="A702" s="2" t="s">
        <v>87</v>
      </c>
    </row>
    <row r="703" ht="15.75" customHeight="1">
      <c r="A703" s="2" t="s">
        <v>88</v>
      </c>
    </row>
    <row r="704" ht="15.75" customHeight="1">
      <c r="A704" s="2" t="s">
        <v>89</v>
      </c>
    </row>
    <row r="705" ht="15.75" customHeight="1">
      <c r="A705" s="2" t="s">
        <v>90</v>
      </c>
    </row>
    <row r="706" ht="15.75" customHeight="1">
      <c r="A706" s="29" t="s">
        <v>1</v>
      </c>
      <c r="B706" s="29">
        <f>SUM(B699:CO705)</f>
        <v>2997.25</v>
      </c>
    </row>
    <row r="707" ht="15.75" customHeight="1">
      <c r="A707" s="2" t="s">
        <v>40</v>
      </c>
    </row>
    <row r="708" ht="15.75" customHeight="1">
      <c r="A708" s="2" t="s">
        <v>0</v>
      </c>
      <c r="B708" s="3">
        <v>136.4</v>
      </c>
      <c r="C708" s="3">
        <v>229.55</v>
      </c>
      <c r="D708" s="3">
        <v>15.43</v>
      </c>
      <c r="E708" s="3">
        <v>86.0</v>
      </c>
      <c r="F708" s="3">
        <v>59.99</v>
      </c>
      <c r="G708" s="3">
        <v>74.85</v>
      </c>
      <c r="H708" s="3">
        <v>75.09</v>
      </c>
      <c r="I708" s="3">
        <v>25.13</v>
      </c>
      <c r="J708" s="3">
        <v>33.4</v>
      </c>
      <c r="K708" s="3">
        <v>24.03</v>
      </c>
      <c r="L708" s="3">
        <v>37.03</v>
      </c>
      <c r="M708" s="3">
        <v>180.7</v>
      </c>
      <c r="N708" s="3">
        <v>44.0</v>
      </c>
      <c r="O708" s="3">
        <v>22.0</v>
      </c>
      <c r="P708" s="3">
        <v>41.0</v>
      </c>
      <c r="Q708" s="3">
        <v>59.83</v>
      </c>
      <c r="R708" s="3">
        <v>11.98</v>
      </c>
      <c r="S708" s="3">
        <v>24.0</v>
      </c>
      <c r="T708" s="3">
        <v>40.0</v>
      </c>
      <c r="U708" s="3">
        <v>161.0</v>
      </c>
      <c r="V708" s="3">
        <v>38.8</v>
      </c>
      <c r="W708" s="3">
        <v>63.03</v>
      </c>
      <c r="X708" s="3">
        <v>25.0</v>
      </c>
      <c r="Y708" s="3">
        <v>64.0</v>
      </c>
      <c r="Z708" s="3">
        <v>44.0</v>
      </c>
      <c r="AA708" s="3">
        <v>38.0</v>
      </c>
      <c r="AB708" s="3">
        <v>24.09</v>
      </c>
      <c r="AC708" s="3">
        <v>44.0</v>
      </c>
      <c r="AD708" s="3">
        <v>47.8</v>
      </c>
      <c r="AE708" s="3">
        <v>26.9</v>
      </c>
      <c r="AF708" s="3">
        <v>38.77</v>
      </c>
      <c r="AG708" s="3">
        <v>47.1</v>
      </c>
      <c r="AH708" s="3">
        <v>38.5</v>
      </c>
      <c r="AI708" s="3">
        <v>126.39</v>
      </c>
      <c r="AJ708" s="3">
        <v>8.5</v>
      </c>
      <c r="AK708" s="3">
        <v>7.0</v>
      </c>
      <c r="AL708" s="3">
        <v>48.28</v>
      </c>
      <c r="AM708" s="3">
        <v>30.0</v>
      </c>
      <c r="AN708" s="3">
        <v>53.96</v>
      </c>
      <c r="AO708" s="3">
        <v>25.0</v>
      </c>
      <c r="AP708" s="3">
        <v>38.0</v>
      </c>
      <c r="AQ708" s="3">
        <v>52.14</v>
      </c>
      <c r="AR708" s="3">
        <v>6.0</v>
      </c>
      <c r="AS708" s="3">
        <v>27.0</v>
      </c>
      <c r="AT708" s="3">
        <v>49.36</v>
      </c>
      <c r="AU708" s="3">
        <v>40.0</v>
      </c>
      <c r="AV708" s="3">
        <v>5.0</v>
      </c>
      <c r="AW708" s="3">
        <v>61.39</v>
      </c>
      <c r="AX708" s="3">
        <v>61.49</v>
      </c>
      <c r="AY708" s="3">
        <v>5.0</v>
      </c>
      <c r="AZ708" s="3">
        <v>26.0</v>
      </c>
      <c r="BA708" s="3">
        <v>35.9</v>
      </c>
      <c r="BB708" s="3">
        <v>7.69</v>
      </c>
      <c r="BC708" s="3">
        <v>5.55</v>
      </c>
      <c r="BD708" s="3">
        <v>74.3</v>
      </c>
      <c r="BE708" s="3">
        <v>26.0</v>
      </c>
      <c r="BF708" s="3">
        <v>9.51</v>
      </c>
      <c r="BG708" s="3">
        <v>37.0</v>
      </c>
      <c r="BH708" s="3">
        <v>37.5</v>
      </c>
      <c r="BI708" s="3">
        <v>52.8</v>
      </c>
      <c r="BJ708" s="3">
        <v>48.0</v>
      </c>
      <c r="BK708" s="3">
        <v>34.0</v>
      </c>
      <c r="BL708" s="3">
        <v>13.03</v>
      </c>
      <c r="BM708" s="3">
        <v>70.0</v>
      </c>
      <c r="BN708" s="3">
        <v>18.0</v>
      </c>
      <c r="BO708" s="3">
        <v>44.8</v>
      </c>
      <c r="BP708" s="3">
        <v>80.0</v>
      </c>
      <c r="BQ708" s="3">
        <v>20.0</v>
      </c>
      <c r="BR708" s="3">
        <v>38.0</v>
      </c>
      <c r="BS708" s="3">
        <v>5.55</v>
      </c>
      <c r="BT708" s="3">
        <v>40.0</v>
      </c>
      <c r="BU708" s="3">
        <v>60.0</v>
      </c>
      <c r="BV708" s="3">
        <v>60.36</v>
      </c>
      <c r="BW708" s="3">
        <v>40.0</v>
      </c>
      <c r="BX708" s="3">
        <v>32.0</v>
      </c>
      <c r="BY708" s="3">
        <v>34.27</v>
      </c>
      <c r="BZ708" s="3">
        <v>65.0</v>
      </c>
      <c r="CA708" s="3"/>
    </row>
    <row r="709" ht="15.75" customHeight="1">
      <c r="A709" s="2" t="s">
        <v>83</v>
      </c>
      <c r="B709" s="2">
        <v>20.53</v>
      </c>
    </row>
    <row r="710" ht="15.75" customHeight="1">
      <c r="A710" s="2" t="s">
        <v>86</v>
      </c>
    </row>
    <row r="711" ht="15.75" customHeight="1">
      <c r="A711" s="2" t="s">
        <v>87</v>
      </c>
    </row>
    <row r="712" ht="15.75" customHeight="1">
      <c r="A712" s="2" t="s">
        <v>88</v>
      </c>
    </row>
    <row r="713" ht="15.75" customHeight="1">
      <c r="A713" s="2" t="s">
        <v>89</v>
      </c>
    </row>
    <row r="714" ht="15.75" customHeight="1">
      <c r="A714" s="2" t="s">
        <v>90</v>
      </c>
    </row>
    <row r="715" ht="15.75" customHeight="1">
      <c r="A715" s="29" t="s">
        <v>1</v>
      </c>
      <c r="B715" s="29">
        <f>SUM(B708:CS714)</f>
        <v>3601.7</v>
      </c>
    </row>
    <row r="716" ht="15.75" customHeight="1">
      <c r="A716" s="2" t="s">
        <v>32</v>
      </c>
    </row>
    <row r="717" ht="15.75" customHeight="1">
      <c r="A717" s="2" t="s">
        <v>0</v>
      </c>
      <c r="B717" s="3">
        <v>136.4</v>
      </c>
      <c r="C717" s="3">
        <v>229.55</v>
      </c>
      <c r="D717" s="3">
        <v>15.43</v>
      </c>
      <c r="E717" s="3">
        <v>86.0</v>
      </c>
      <c r="F717" s="2">
        <v>59.99</v>
      </c>
      <c r="G717" s="3">
        <v>74.85</v>
      </c>
      <c r="H717" s="3">
        <v>25.13</v>
      </c>
      <c r="I717" s="3">
        <v>33.4</v>
      </c>
      <c r="J717" s="3">
        <v>24.03</v>
      </c>
      <c r="K717" s="3">
        <v>37.03</v>
      </c>
      <c r="L717" s="3">
        <v>34.27</v>
      </c>
      <c r="M717" s="3">
        <v>109.6</v>
      </c>
      <c r="N717" s="3">
        <v>60.36</v>
      </c>
      <c r="O717" s="3">
        <v>11.57</v>
      </c>
      <c r="P717" s="3">
        <v>15.0</v>
      </c>
      <c r="Q717" s="3">
        <v>105.07</v>
      </c>
      <c r="R717" s="3">
        <v>30.0</v>
      </c>
      <c r="S717" s="3">
        <v>58.0</v>
      </c>
      <c r="T717" s="3">
        <v>48.17</v>
      </c>
      <c r="U717" s="3">
        <v>14.76</v>
      </c>
      <c r="V717" s="3">
        <v>40.0</v>
      </c>
      <c r="W717" s="3">
        <v>38.97</v>
      </c>
      <c r="X717" s="3">
        <v>31.0</v>
      </c>
      <c r="Y717" s="3">
        <v>20.0</v>
      </c>
      <c r="Z717" s="3">
        <v>30.0</v>
      </c>
      <c r="AA717" s="3">
        <v>5.0</v>
      </c>
      <c r="AB717" s="3">
        <v>82.4</v>
      </c>
      <c r="AC717" s="3">
        <v>55.8</v>
      </c>
      <c r="AD717" s="3">
        <v>40.0</v>
      </c>
      <c r="AE717" s="3">
        <v>25.47</v>
      </c>
      <c r="AF717" s="3">
        <v>32.5</v>
      </c>
      <c r="AG717" s="3">
        <v>31.5</v>
      </c>
      <c r="AH717" s="3">
        <v>60.2</v>
      </c>
      <c r="AI717" s="3">
        <v>38.0</v>
      </c>
      <c r="AJ717" s="3">
        <v>30.0</v>
      </c>
      <c r="AK717" s="3">
        <v>29.85</v>
      </c>
      <c r="AL717" s="3">
        <v>27.08</v>
      </c>
      <c r="AM717" s="3">
        <v>25.0</v>
      </c>
      <c r="AN717" s="3">
        <v>59.66</v>
      </c>
      <c r="AO717" s="3">
        <v>24.0</v>
      </c>
      <c r="AP717" s="3">
        <v>50.0</v>
      </c>
      <c r="AQ717" s="3">
        <v>30.0</v>
      </c>
      <c r="AR717" s="3">
        <v>52.0</v>
      </c>
      <c r="AS717" s="3">
        <v>12.0</v>
      </c>
      <c r="AT717" s="3">
        <v>34.0</v>
      </c>
      <c r="AU717" s="3">
        <v>27.0</v>
      </c>
      <c r="AV717" s="3">
        <v>56.0</v>
      </c>
      <c r="AW717" s="3">
        <v>83.0</v>
      </c>
      <c r="AX717" s="3">
        <v>60.0</v>
      </c>
      <c r="AY717" s="3">
        <v>54.0</v>
      </c>
      <c r="AZ717" s="3">
        <v>8.5</v>
      </c>
      <c r="BA717" s="3">
        <v>64.0</v>
      </c>
      <c r="BB717" s="3">
        <v>48.27</v>
      </c>
      <c r="BC717" s="3">
        <v>61.5</v>
      </c>
      <c r="BD717" s="3">
        <v>39.8</v>
      </c>
      <c r="BE717" s="3">
        <v>55.0</v>
      </c>
      <c r="BF717" s="3">
        <v>41.0</v>
      </c>
      <c r="BG717" s="3">
        <v>189.75</v>
      </c>
      <c r="BH717" s="3">
        <v>40.71</v>
      </c>
      <c r="BI717" s="3">
        <v>40.0</v>
      </c>
      <c r="BJ717" s="3">
        <v>61.5</v>
      </c>
      <c r="BK717" s="3">
        <v>30.0</v>
      </c>
      <c r="BL717" s="3">
        <v>32.0</v>
      </c>
      <c r="BM717" s="3">
        <v>26.0</v>
      </c>
      <c r="BN717" s="3">
        <v>169.89</v>
      </c>
      <c r="BO717" s="3">
        <v>66.77</v>
      </c>
      <c r="BP717" s="3">
        <v>11.87</v>
      </c>
      <c r="BQ717" s="3">
        <v>36.0</v>
      </c>
      <c r="BR717" s="3">
        <v>75.0</v>
      </c>
      <c r="BS717" s="3">
        <v>4.5</v>
      </c>
      <c r="BT717" s="3">
        <v>24.0</v>
      </c>
      <c r="BU717" s="3">
        <v>6.0</v>
      </c>
      <c r="BV717" s="3">
        <v>32.05</v>
      </c>
      <c r="BW717" s="3">
        <v>133.0</v>
      </c>
    </row>
    <row r="718" ht="15.75" customHeight="1">
      <c r="A718" s="2" t="s">
        <v>83</v>
      </c>
      <c r="B718" s="3">
        <v>20.53</v>
      </c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</row>
    <row r="719" ht="15.75" customHeight="1">
      <c r="A719" s="2" t="s">
        <v>86</v>
      </c>
    </row>
    <row r="720" ht="15.75" customHeight="1">
      <c r="A720" s="2" t="s">
        <v>87</v>
      </c>
    </row>
    <row r="721" ht="15.75" customHeight="1">
      <c r="A721" s="2" t="s">
        <v>88</v>
      </c>
    </row>
    <row r="722" ht="15.75" customHeight="1">
      <c r="A722" s="2" t="s">
        <v>89</v>
      </c>
    </row>
    <row r="723" ht="15.75" customHeight="1">
      <c r="A723" s="2" t="s">
        <v>90</v>
      </c>
    </row>
    <row r="724" ht="15.75" customHeight="1">
      <c r="A724" s="29" t="s">
        <v>1</v>
      </c>
      <c r="B724" s="29">
        <f>SUM(B717:DE723)</f>
        <v>3710.68</v>
      </c>
    </row>
    <row r="725" ht="15.75" customHeight="1">
      <c r="A725" s="2" t="s">
        <v>33</v>
      </c>
    </row>
    <row r="726" ht="15.75" customHeight="1">
      <c r="A726" s="2" t="s">
        <v>0</v>
      </c>
      <c r="B726" s="3">
        <v>229.55</v>
      </c>
      <c r="C726" s="3">
        <v>15.43</v>
      </c>
      <c r="D726" s="3">
        <v>86.0</v>
      </c>
      <c r="E726" s="3">
        <v>40.86</v>
      </c>
      <c r="F726" s="3">
        <v>74.85</v>
      </c>
      <c r="G726" s="3">
        <v>25.13</v>
      </c>
      <c r="H726" s="3">
        <v>33.4</v>
      </c>
      <c r="I726" s="3">
        <v>24.03</v>
      </c>
      <c r="J726" s="3">
        <v>37.03</v>
      </c>
      <c r="K726" s="3">
        <v>34.27</v>
      </c>
      <c r="L726" s="3">
        <v>109.6</v>
      </c>
      <c r="M726" s="3">
        <v>5.0</v>
      </c>
      <c r="N726" s="3">
        <v>122.8</v>
      </c>
      <c r="O726" s="3">
        <v>45.3</v>
      </c>
      <c r="P726" s="3">
        <v>148.21</v>
      </c>
      <c r="Q726" s="3">
        <v>43.5</v>
      </c>
      <c r="R726" s="3">
        <v>60.0</v>
      </c>
      <c r="S726" s="3">
        <v>184.0</v>
      </c>
      <c r="T726" s="3">
        <v>4.75</v>
      </c>
      <c r="U726" s="3">
        <v>158.44</v>
      </c>
      <c r="V726" s="3">
        <v>55.03</v>
      </c>
      <c r="W726" s="3">
        <v>32.0</v>
      </c>
      <c r="X726" s="3">
        <v>47.0</v>
      </c>
      <c r="Y726" s="3">
        <v>80.0</v>
      </c>
      <c r="Z726" s="3">
        <v>11.05</v>
      </c>
      <c r="AA726" s="3">
        <v>172.7</v>
      </c>
      <c r="AB726" s="3">
        <v>45.3</v>
      </c>
      <c r="AC726" s="3">
        <v>3.0</v>
      </c>
      <c r="AD726" s="3">
        <v>97.02</v>
      </c>
      <c r="AE726" s="3">
        <v>49.99</v>
      </c>
      <c r="AF726" s="2">
        <v>23.95</v>
      </c>
      <c r="AG726" s="3">
        <v>76.76</v>
      </c>
      <c r="AH726" s="3">
        <v>50.54</v>
      </c>
      <c r="AI726" s="3">
        <v>64.0</v>
      </c>
      <c r="AJ726" s="3">
        <v>18.08</v>
      </c>
      <c r="AK726" s="3">
        <v>8.5</v>
      </c>
      <c r="AL726" s="3">
        <v>35.0</v>
      </c>
      <c r="AM726" s="3">
        <v>50.44</v>
      </c>
      <c r="AN726" s="3">
        <v>46.75</v>
      </c>
      <c r="AO726" s="3">
        <v>62.99</v>
      </c>
      <c r="AP726" s="3">
        <v>59.99</v>
      </c>
      <c r="AQ726" s="3">
        <v>124.0</v>
      </c>
      <c r="AR726" s="3">
        <v>30.0</v>
      </c>
      <c r="AS726" s="3">
        <v>30.0</v>
      </c>
      <c r="AT726" s="3">
        <v>58.0</v>
      </c>
      <c r="AU726" s="3">
        <v>30.0</v>
      </c>
      <c r="AV726" s="3">
        <v>9.21</v>
      </c>
      <c r="AW726" s="3">
        <v>8.73</v>
      </c>
      <c r="AX726" s="3">
        <v>53.5</v>
      </c>
      <c r="AY726" s="3">
        <v>42.0</v>
      </c>
      <c r="AZ726" s="3">
        <v>32.0</v>
      </c>
      <c r="BA726" s="3">
        <v>26.0</v>
      </c>
      <c r="BB726" s="3">
        <v>5.99</v>
      </c>
      <c r="BC726" s="3">
        <v>10.59</v>
      </c>
      <c r="BD726" s="3">
        <v>35.35</v>
      </c>
      <c r="BE726" s="3">
        <v>64.0</v>
      </c>
      <c r="BF726" s="3">
        <v>58.0</v>
      </c>
      <c r="BG726" s="3">
        <v>150.0</v>
      </c>
      <c r="BH726" s="3">
        <v>10.0</v>
      </c>
      <c r="BI726" s="3">
        <v>7.77</v>
      </c>
      <c r="BJ726" s="3">
        <v>60.0</v>
      </c>
      <c r="BK726" s="3">
        <v>53.0</v>
      </c>
      <c r="BL726" s="3">
        <v>54.33</v>
      </c>
      <c r="BM726" s="3">
        <v>76.8</v>
      </c>
      <c r="BN726" s="3">
        <v>52.2</v>
      </c>
      <c r="BO726" s="3">
        <v>57.71</v>
      </c>
      <c r="BP726" s="3">
        <v>98.81</v>
      </c>
      <c r="BQ726" s="3">
        <v>38.16</v>
      </c>
      <c r="BR726" s="3">
        <v>25.0</v>
      </c>
      <c r="BS726" s="3">
        <v>75.0</v>
      </c>
      <c r="BT726" s="3">
        <v>58.5</v>
      </c>
    </row>
    <row r="727" ht="15.75" customHeight="1">
      <c r="A727" s="2" t="s">
        <v>83</v>
      </c>
      <c r="B727" s="3">
        <v>20.53</v>
      </c>
    </row>
    <row r="728" ht="15.75" customHeight="1">
      <c r="A728" s="2" t="s">
        <v>93</v>
      </c>
    </row>
    <row r="729" ht="15.75" customHeight="1"/>
    <row r="730" ht="15.75" customHeight="1"/>
    <row r="731" ht="15.75" customHeight="1"/>
    <row r="732" ht="15.75" customHeight="1"/>
    <row r="733" ht="15.75" customHeight="1">
      <c r="A733" s="29" t="s">
        <v>1</v>
      </c>
      <c r="B733" s="29">
        <f>SUM(B726:BY732)</f>
        <v>4027.42</v>
      </c>
    </row>
    <row r="734" ht="15.75" customHeight="1">
      <c r="A734" s="2" t="s">
        <v>34</v>
      </c>
    </row>
    <row r="735" ht="15.75" customHeight="1">
      <c r="A735" s="2" t="s">
        <v>0</v>
      </c>
      <c r="B735" s="3">
        <v>86.0</v>
      </c>
      <c r="C735" s="3">
        <v>40.86</v>
      </c>
      <c r="D735" s="3">
        <v>25.13</v>
      </c>
      <c r="E735" s="3">
        <v>33.4</v>
      </c>
      <c r="F735" s="3">
        <v>24.03</v>
      </c>
      <c r="G735" s="3">
        <v>37.03</v>
      </c>
      <c r="H735" s="3">
        <v>34.27</v>
      </c>
      <c r="I735" s="3">
        <v>109.6</v>
      </c>
      <c r="J735" s="3">
        <v>50.12</v>
      </c>
      <c r="K735" s="3">
        <v>80.0</v>
      </c>
      <c r="L735" s="3">
        <v>23.95</v>
      </c>
      <c r="M735" s="3">
        <v>76.8</v>
      </c>
      <c r="N735" s="3">
        <v>98.81</v>
      </c>
      <c r="O735" s="3">
        <v>87.3</v>
      </c>
      <c r="P735" s="3">
        <v>8.0</v>
      </c>
      <c r="Q735" s="3">
        <v>15.43</v>
      </c>
      <c r="R735" s="3">
        <v>10.58</v>
      </c>
      <c r="S735" s="3">
        <v>5.0</v>
      </c>
      <c r="T735" s="3">
        <v>179.9</v>
      </c>
      <c r="U735" s="3">
        <v>25.0</v>
      </c>
      <c r="V735" s="3">
        <v>137.8</v>
      </c>
      <c r="W735" s="3">
        <v>24.0</v>
      </c>
      <c r="X735" s="3">
        <v>24.5</v>
      </c>
      <c r="Y735" s="3">
        <v>43.23</v>
      </c>
      <c r="Z735" s="3">
        <v>57.9</v>
      </c>
      <c r="AA735" s="3">
        <v>11.98</v>
      </c>
      <c r="AB735" s="3">
        <v>270.0</v>
      </c>
      <c r="AC735" s="3">
        <v>22.0</v>
      </c>
      <c r="AD735" s="3">
        <v>27.0</v>
      </c>
      <c r="AE735" s="3">
        <v>48.73</v>
      </c>
      <c r="AF735" s="3">
        <v>36.0</v>
      </c>
      <c r="AG735" s="3">
        <v>113.8</v>
      </c>
      <c r="AH735" s="3">
        <v>62.46</v>
      </c>
      <c r="AI735" s="3">
        <v>61.98</v>
      </c>
      <c r="AJ735" s="3">
        <v>39.3</v>
      </c>
      <c r="AK735" s="3">
        <v>237.6</v>
      </c>
      <c r="AL735" s="3">
        <v>12.88</v>
      </c>
      <c r="AM735" s="3">
        <v>66.1</v>
      </c>
      <c r="AN735" s="3">
        <v>69.55</v>
      </c>
      <c r="AO735" s="3">
        <v>33.0</v>
      </c>
      <c r="AP735" s="3">
        <v>29.0</v>
      </c>
      <c r="AQ735" s="3">
        <v>44.0</v>
      </c>
      <c r="AR735" s="3">
        <v>139.15</v>
      </c>
      <c r="AS735" s="3">
        <v>16.14</v>
      </c>
      <c r="AT735" s="3">
        <v>8.5</v>
      </c>
      <c r="AU735" s="3">
        <v>51.8</v>
      </c>
      <c r="AV735" s="3">
        <v>81.75</v>
      </c>
      <c r="AW735" s="3">
        <v>5.0</v>
      </c>
      <c r="AX735" s="3">
        <v>31.0</v>
      </c>
      <c r="AY735" s="3">
        <v>13.0</v>
      </c>
      <c r="AZ735" s="3">
        <v>43.03</v>
      </c>
      <c r="BA735" s="3">
        <v>32.0</v>
      </c>
      <c r="BB735" s="3">
        <v>60.0</v>
      </c>
      <c r="BC735" s="3">
        <v>67.14</v>
      </c>
      <c r="BD735" s="3">
        <v>49.25</v>
      </c>
      <c r="BE735" s="3">
        <v>8.9</v>
      </c>
      <c r="BF735" s="3">
        <v>23.0</v>
      </c>
      <c r="BG735" s="3">
        <v>64.0</v>
      </c>
      <c r="BH735" s="3">
        <v>25.0</v>
      </c>
      <c r="BI735" s="3">
        <v>25.0</v>
      </c>
      <c r="BJ735" s="3">
        <v>48.0</v>
      </c>
      <c r="BK735" s="3">
        <v>93.47</v>
      </c>
      <c r="BL735" s="3">
        <v>43.0</v>
      </c>
      <c r="BM735" s="3">
        <v>23.0</v>
      </c>
      <c r="BN735" s="3">
        <v>18.0</v>
      </c>
      <c r="BO735" s="3">
        <v>49.68</v>
      </c>
      <c r="BP735" s="3">
        <v>61.08</v>
      </c>
      <c r="BQ735" s="3">
        <v>15.99</v>
      </c>
      <c r="BR735" s="3">
        <v>26.0</v>
      </c>
      <c r="BS735" s="3">
        <v>30.0</v>
      </c>
      <c r="BT735" s="3">
        <v>22.96</v>
      </c>
      <c r="BU735" s="3">
        <v>33.0</v>
      </c>
      <c r="BV735" s="3">
        <v>33.0</v>
      </c>
      <c r="BW735" s="3">
        <v>33.0</v>
      </c>
      <c r="BX735" s="3">
        <v>43.88</v>
      </c>
      <c r="BY735" s="3">
        <v>29.37</v>
      </c>
    </row>
    <row r="736" ht="15.75" customHeight="1">
      <c r="A736" s="2" t="s">
        <v>83</v>
      </c>
      <c r="B736" s="3">
        <v>20.53</v>
      </c>
    </row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>
      <c r="A742" s="29" t="s">
        <v>1</v>
      </c>
      <c r="B742" s="29">
        <f>SUM(B735:CK741)</f>
        <v>3891.64</v>
      </c>
    </row>
    <row r="743" ht="15.75" customHeight="1">
      <c r="A743" s="2" t="s">
        <v>41</v>
      </c>
      <c r="BW743" s="2" t="s">
        <v>77</v>
      </c>
    </row>
    <row r="744" ht="15.75" customHeight="1">
      <c r="A744" s="2" t="s">
        <v>0</v>
      </c>
      <c r="B744" s="3">
        <v>86.0</v>
      </c>
      <c r="C744" s="3">
        <v>80.0</v>
      </c>
      <c r="D744" s="3">
        <v>25.13</v>
      </c>
      <c r="E744" s="3">
        <v>33.4</v>
      </c>
      <c r="F744" s="3">
        <v>37.03</v>
      </c>
      <c r="G744" s="3">
        <v>34.27</v>
      </c>
      <c r="H744" s="3">
        <v>109.6</v>
      </c>
      <c r="I744" s="3">
        <v>50.12</v>
      </c>
      <c r="J744" s="3">
        <v>76.8</v>
      </c>
      <c r="K744" s="3">
        <v>98.81</v>
      </c>
      <c r="L744" s="3">
        <v>87.3</v>
      </c>
      <c r="M744" s="3">
        <v>15.43</v>
      </c>
      <c r="N744" s="3">
        <v>10.58</v>
      </c>
      <c r="O744" s="3">
        <v>179.9</v>
      </c>
      <c r="P744" s="3">
        <v>22.68</v>
      </c>
      <c r="Q744" s="3">
        <v>23.7</v>
      </c>
      <c r="R744" s="3">
        <v>20.78</v>
      </c>
      <c r="S744" s="3">
        <v>63.99</v>
      </c>
      <c r="T744" s="3">
        <v>54.0</v>
      </c>
      <c r="U744" s="3">
        <v>132.0</v>
      </c>
      <c r="V744" s="3">
        <v>59.04</v>
      </c>
      <c r="W744" s="3">
        <v>45.0</v>
      </c>
      <c r="X744" s="3">
        <v>32.0</v>
      </c>
      <c r="Y744" s="3">
        <v>40.61</v>
      </c>
      <c r="Z744" s="3">
        <v>44.18</v>
      </c>
      <c r="AA744" s="3">
        <v>26.66</v>
      </c>
      <c r="AB744" s="3">
        <v>52.4</v>
      </c>
      <c r="AC744" s="3">
        <v>33.9</v>
      </c>
      <c r="AD744" s="3">
        <v>17.27</v>
      </c>
      <c r="AE744" s="3">
        <v>12.0</v>
      </c>
      <c r="AF744" s="3">
        <v>15.0</v>
      </c>
      <c r="AG744" s="3">
        <v>10.0</v>
      </c>
      <c r="AH744" s="3">
        <v>22.0</v>
      </c>
      <c r="AI744" s="3">
        <v>5.0</v>
      </c>
      <c r="AJ744" s="3">
        <v>80.4</v>
      </c>
      <c r="AK744" s="3">
        <v>23.0</v>
      </c>
      <c r="AL744" s="3">
        <v>131.41</v>
      </c>
      <c r="AM744" s="3">
        <v>89.9</v>
      </c>
      <c r="AN744" s="3">
        <v>8.5</v>
      </c>
      <c r="AO744" s="3">
        <v>34.0</v>
      </c>
      <c r="AP744" s="3">
        <v>69.3</v>
      </c>
      <c r="AQ744" s="3">
        <v>62.51</v>
      </c>
      <c r="AR744" s="3">
        <v>104.0</v>
      </c>
      <c r="AS744" s="3">
        <v>21.0</v>
      </c>
      <c r="AT744" s="3">
        <v>20.0</v>
      </c>
      <c r="AU744" s="3">
        <v>5.0</v>
      </c>
      <c r="AV744" s="3">
        <v>12.0</v>
      </c>
      <c r="AW744" s="3">
        <v>50.0</v>
      </c>
      <c r="AX744" s="3">
        <v>22.0</v>
      </c>
      <c r="AY744" s="3">
        <v>5.0</v>
      </c>
      <c r="AZ744" s="3">
        <v>27.82</v>
      </c>
      <c r="BA744" s="3">
        <v>49.68</v>
      </c>
      <c r="BB744" s="3">
        <v>46.65</v>
      </c>
      <c r="BC744" s="3">
        <v>28.0</v>
      </c>
      <c r="BD744" s="3">
        <v>15.0</v>
      </c>
      <c r="BE744" s="3">
        <v>42.0</v>
      </c>
      <c r="BF744" s="3">
        <v>22.0</v>
      </c>
      <c r="BG744" s="3">
        <v>18.8</v>
      </c>
      <c r="BH744" s="3">
        <v>19.0</v>
      </c>
      <c r="BI744" s="3">
        <v>7.0</v>
      </c>
      <c r="BJ744" s="3">
        <v>26.0</v>
      </c>
      <c r="BK744" s="3">
        <v>21.0</v>
      </c>
      <c r="BL744" s="3">
        <v>27.0</v>
      </c>
      <c r="BM744" s="3">
        <v>31.75</v>
      </c>
      <c r="BN744" s="3">
        <v>26.0</v>
      </c>
      <c r="BO744" s="3">
        <v>18.0</v>
      </c>
      <c r="BP744" s="3">
        <v>41.0</v>
      </c>
      <c r="BQ744" s="3">
        <v>13.0</v>
      </c>
      <c r="BR744" s="3">
        <v>25.0</v>
      </c>
      <c r="BS744" s="3">
        <v>66.04</v>
      </c>
      <c r="BT744" s="3">
        <v>37.0</v>
      </c>
      <c r="BU744" s="3">
        <v>82.0</v>
      </c>
      <c r="BV744" s="3">
        <v>36.5</v>
      </c>
      <c r="BW744" s="3">
        <v>20.0</v>
      </c>
      <c r="BX744" s="3">
        <v>22.5</v>
      </c>
      <c r="BZ744" s="3">
        <v>31.99</v>
      </c>
      <c r="CB744" s="3">
        <v>50.5</v>
      </c>
      <c r="CC744" s="3">
        <v>45.0</v>
      </c>
      <c r="CD744" s="3">
        <v>7.0</v>
      </c>
      <c r="CE744" s="3">
        <v>59.7</v>
      </c>
    </row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>
      <c r="A751" s="29" t="s">
        <v>1</v>
      </c>
      <c r="B751" s="29">
        <f>SUM(B744:DE750)</f>
        <v>3357.53</v>
      </c>
    </row>
    <row r="752" ht="15.75" customHeight="1">
      <c r="A752" s="2" t="s">
        <v>42</v>
      </c>
      <c r="O752" s="2" t="s">
        <v>94</v>
      </c>
    </row>
    <row r="753" ht="15.75" customHeight="1">
      <c r="A753" s="2" t="s">
        <v>0</v>
      </c>
      <c r="B753" s="3">
        <v>86.0</v>
      </c>
      <c r="C753" s="3">
        <v>30.0</v>
      </c>
      <c r="D753" s="3">
        <v>25.13</v>
      </c>
      <c r="E753" s="3">
        <v>33.4</v>
      </c>
      <c r="F753" s="3">
        <v>37.03</v>
      </c>
      <c r="G753" s="3">
        <v>34.27</v>
      </c>
      <c r="H753" s="3">
        <v>109.6</v>
      </c>
      <c r="I753" s="3">
        <v>50.12</v>
      </c>
      <c r="J753" s="3">
        <v>76.8</v>
      </c>
      <c r="K753" s="3">
        <v>98.81</v>
      </c>
      <c r="L753" s="3">
        <v>10.58</v>
      </c>
      <c r="M753" s="3">
        <v>179.9</v>
      </c>
      <c r="N753" s="3">
        <v>26.66</v>
      </c>
      <c r="O753" s="3">
        <v>44.18</v>
      </c>
      <c r="P753" s="3">
        <v>55.7</v>
      </c>
      <c r="Q753" s="3">
        <v>28.0</v>
      </c>
      <c r="R753" s="3">
        <v>31.0</v>
      </c>
      <c r="S753" s="3">
        <v>81.0</v>
      </c>
      <c r="T753" s="3">
        <v>37.4</v>
      </c>
      <c r="U753" s="3">
        <v>7.0</v>
      </c>
      <c r="V753" s="3">
        <v>64.4</v>
      </c>
      <c r="W753" s="3">
        <v>64.0</v>
      </c>
      <c r="X753" s="3">
        <v>36.5</v>
      </c>
      <c r="Y753" s="3">
        <v>31.99</v>
      </c>
      <c r="Z753" s="3">
        <v>10.0</v>
      </c>
      <c r="AA753" s="3">
        <v>14.0</v>
      </c>
      <c r="AB753" s="3">
        <v>24.0</v>
      </c>
      <c r="AC753" s="3">
        <v>48.85</v>
      </c>
      <c r="AD753" s="3">
        <v>37.66</v>
      </c>
      <c r="AE753" s="3">
        <v>91.43</v>
      </c>
      <c r="AF753" s="3">
        <v>68.47</v>
      </c>
      <c r="AG753" s="3">
        <v>49.0</v>
      </c>
      <c r="AH753" s="3">
        <v>52.81</v>
      </c>
      <c r="AI753" s="3">
        <v>13.0</v>
      </c>
      <c r="AJ753" s="3">
        <v>8.5</v>
      </c>
      <c r="AK753" s="3">
        <v>42.0</v>
      </c>
      <c r="AL753" s="3">
        <v>159.5</v>
      </c>
      <c r="AM753" s="3">
        <v>11.49</v>
      </c>
      <c r="AN753" s="3">
        <v>58.0</v>
      </c>
      <c r="AO753" s="3">
        <v>44.0</v>
      </c>
      <c r="AP753" s="3">
        <v>61.32</v>
      </c>
      <c r="AQ753" s="3">
        <v>34.0</v>
      </c>
      <c r="AR753" s="3">
        <v>41.98</v>
      </c>
      <c r="AS753" s="3">
        <v>51.21</v>
      </c>
      <c r="AT753" s="3">
        <v>47.27</v>
      </c>
      <c r="AU753" s="3">
        <v>50.0</v>
      </c>
      <c r="AV753" s="3">
        <v>61.0</v>
      </c>
      <c r="AW753" s="3">
        <v>26.0</v>
      </c>
      <c r="AX753" s="3">
        <v>43.0</v>
      </c>
      <c r="AY753" s="3">
        <v>34.69</v>
      </c>
      <c r="AZ753" s="3">
        <v>113.8</v>
      </c>
      <c r="BA753" s="3">
        <v>7.5</v>
      </c>
      <c r="BB753" s="3">
        <v>43.0</v>
      </c>
      <c r="BC753" s="3">
        <v>50.0</v>
      </c>
      <c r="BD753" s="3">
        <v>56.0</v>
      </c>
      <c r="BE753" s="3">
        <v>63.76</v>
      </c>
      <c r="BF753" s="3">
        <v>18.0</v>
      </c>
      <c r="BG753" s="3">
        <v>21.0</v>
      </c>
      <c r="BH753" s="3">
        <v>72.0</v>
      </c>
      <c r="BI753" s="3">
        <v>5.99</v>
      </c>
      <c r="BJ753" s="3">
        <v>39.9</v>
      </c>
      <c r="BK753" s="3">
        <v>24.76</v>
      </c>
      <c r="BL753" s="3">
        <v>52.0</v>
      </c>
      <c r="BM753" s="3">
        <v>10.13</v>
      </c>
      <c r="BN753" s="3">
        <v>93.05</v>
      </c>
      <c r="BO753" s="3">
        <v>9.05</v>
      </c>
      <c r="BP753" s="3">
        <v>45.8</v>
      </c>
    </row>
    <row r="754" ht="15.75" customHeight="1">
      <c r="A754" s="2" t="s">
        <v>83</v>
      </c>
      <c r="B754" s="3">
        <v>21.23</v>
      </c>
    </row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>
      <c r="A760" s="29" t="s">
        <v>1</v>
      </c>
      <c r="B760" s="29">
        <f>SUM(B753:BW759)</f>
        <v>3209.62</v>
      </c>
    </row>
    <row r="761" ht="15.75" customHeight="1">
      <c r="A761" s="2" t="s">
        <v>43</v>
      </c>
    </row>
    <row r="762" ht="15.75" customHeight="1">
      <c r="A762" s="2" t="s">
        <v>0</v>
      </c>
      <c r="B762" s="3">
        <v>33.4</v>
      </c>
      <c r="C762" s="3">
        <v>37.03</v>
      </c>
      <c r="D762" s="3">
        <v>34.27</v>
      </c>
      <c r="E762" s="3">
        <v>109.6</v>
      </c>
      <c r="F762" s="3">
        <v>76.8</v>
      </c>
      <c r="G762" s="3">
        <v>98.81</v>
      </c>
      <c r="H762" s="3">
        <v>10.58</v>
      </c>
      <c r="I762" s="3">
        <v>179.9</v>
      </c>
      <c r="J762" s="3">
        <v>26.66</v>
      </c>
      <c r="K762" s="3">
        <v>31.99</v>
      </c>
      <c r="L762" s="3">
        <v>11.49</v>
      </c>
      <c r="M762" s="3">
        <v>64.0</v>
      </c>
      <c r="N762" s="3">
        <v>41.0</v>
      </c>
      <c r="O762" s="3">
        <v>100.0</v>
      </c>
      <c r="P762" s="3">
        <v>66.3</v>
      </c>
      <c r="Q762" s="3">
        <v>48.8</v>
      </c>
      <c r="R762" s="3">
        <v>36.0</v>
      </c>
      <c r="S762" s="3">
        <v>30.0</v>
      </c>
      <c r="T762" s="3">
        <v>44.75</v>
      </c>
      <c r="U762" s="3">
        <v>25.46</v>
      </c>
      <c r="V762" s="3">
        <v>31.0</v>
      </c>
      <c r="W762" s="3">
        <v>34.0</v>
      </c>
      <c r="X762" s="3">
        <v>33.0</v>
      </c>
      <c r="Y762" s="3">
        <v>18.0</v>
      </c>
      <c r="Z762" s="3">
        <v>65.5</v>
      </c>
      <c r="AA762" s="3">
        <v>8.5</v>
      </c>
      <c r="AB762" s="3">
        <v>42.87</v>
      </c>
      <c r="AC762" s="3">
        <v>54.59</v>
      </c>
      <c r="AD762" s="3">
        <v>5.0</v>
      </c>
      <c r="AE762" s="3">
        <v>9.0</v>
      </c>
      <c r="AF762" s="3">
        <v>69.3</v>
      </c>
      <c r="AG762" s="3">
        <v>86.66</v>
      </c>
      <c r="AH762" s="3">
        <v>13.0</v>
      </c>
      <c r="AI762" s="3">
        <v>21.0</v>
      </c>
      <c r="AJ762" s="3">
        <v>144.98</v>
      </c>
      <c r="AK762" s="3">
        <v>73.5</v>
      </c>
      <c r="AL762" s="3">
        <v>43.0</v>
      </c>
      <c r="AM762" s="3">
        <v>130.5</v>
      </c>
      <c r="AN762" s="3">
        <v>70.0</v>
      </c>
      <c r="AO762" s="3">
        <v>10.0</v>
      </c>
      <c r="AP762" s="3">
        <v>45.0</v>
      </c>
      <c r="AQ762" s="3">
        <v>45.0</v>
      </c>
      <c r="AR762" s="3">
        <v>40.0</v>
      </c>
      <c r="AS762" s="3">
        <v>15.8</v>
      </c>
      <c r="AT762" s="3">
        <v>60.64</v>
      </c>
      <c r="AU762" s="3">
        <v>83.0</v>
      </c>
      <c r="AV762" s="3">
        <v>8.5</v>
      </c>
      <c r="AW762" s="3">
        <v>42.0</v>
      </c>
      <c r="AX762" s="3">
        <v>20.13</v>
      </c>
      <c r="AY762" s="3">
        <v>7.0</v>
      </c>
      <c r="AZ762" s="3">
        <v>26.0</v>
      </c>
      <c r="BA762" s="3">
        <v>31.0</v>
      </c>
      <c r="BB762" s="3">
        <v>117.3</v>
      </c>
      <c r="BC762" s="3">
        <v>35.0</v>
      </c>
      <c r="BD762" s="3">
        <v>60.0</v>
      </c>
      <c r="BE762" s="3">
        <v>58.0</v>
      </c>
      <c r="BF762" s="3">
        <v>29.9</v>
      </c>
      <c r="BG762" s="3">
        <v>67.56</v>
      </c>
      <c r="BH762" s="2">
        <v>57.45</v>
      </c>
      <c r="BI762" s="3">
        <v>20.0</v>
      </c>
      <c r="BJ762" s="3">
        <v>30.0</v>
      </c>
      <c r="BK762" s="3">
        <v>77.0</v>
      </c>
      <c r="BL762" s="3"/>
      <c r="BM762" s="3"/>
      <c r="BN762" s="3"/>
      <c r="BO762" s="3"/>
      <c r="BP762" s="3"/>
    </row>
    <row r="763" ht="15.75" customHeight="1">
      <c r="A763" s="2" t="s">
        <v>83</v>
      </c>
      <c r="B763" s="2">
        <v>21.23</v>
      </c>
    </row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>
      <c r="A769" s="29" t="s">
        <v>1</v>
      </c>
      <c r="B769" s="29">
        <f>SUM(B762:HI768)</f>
        <v>3067.75</v>
      </c>
    </row>
    <row r="770" ht="15.75" customHeight="1">
      <c r="A770" s="2" t="s">
        <v>44</v>
      </c>
    </row>
    <row r="771" ht="15.75" customHeight="1">
      <c r="A771" s="2" t="s">
        <v>0</v>
      </c>
      <c r="B771" s="3">
        <v>37.03</v>
      </c>
      <c r="C771" s="3">
        <v>34.27</v>
      </c>
      <c r="D771" s="3">
        <v>109.6</v>
      </c>
      <c r="E771" s="3">
        <v>76.8</v>
      </c>
      <c r="F771" s="3">
        <v>98.81</v>
      </c>
      <c r="G771" s="3">
        <v>10.58</v>
      </c>
      <c r="H771" s="3">
        <v>179.9</v>
      </c>
      <c r="I771" s="3">
        <v>11.49</v>
      </c>
      <c r="J771" s="3">
        <v>33.4</v>
      </c>
      <c r="K771" s="3">
        <v>86.66</v>
      </c>
      <c r="L771" s="3">
        <v>38.35</v>
      </c>
      <c r="M771" s="3">
        <v>110.99</v>
      </c>
      <c r="N771" s="3">
        <v>110.0</v>
      </c>
      <c r="O771" s="3">
        <v>49.9</v>
      </c>
      <c r="P771" s="3">
        <v>5.0</v>
      </c>
      <c r="Q771" s="3">
        <v>87.8</v>
      </c>
      <c r="R771" s="3">
        <v>55.0</v>
      </c>
      <c r="S771" s="3">
        <v>44.0</v>
      </c>
      <c r="T771" s="3">
        <v>13.0</v>
      </c>
      <c r="U771" s="3">
        <v>8.0</v>
      </c>
      <c r="V771" s="3">
        <v>60.0</v>
      </c>
      <c r="W771" s="3">
        <v>75.0</v>
      </c>
      <c r="X771" s="3">
        <v>213.4</v>
      </c>
      <c r="Y771" s="3">
        <v>64.0</v>
      </c>
      <c r="Z771" s="3">
        <v>68.01</v>
      </c>
      <c r="AA771" s="3">
        <v>30.0</v>
      </c>
      <c r="AB771" s="3">
        <v>18.0</v>
      </c>
      <c r="AC771" s="3">
        <v>26.0</v>
      </c>
      <c r="AD771" s="3">
        <v>16.0</v>
      </c>
      <c r="AE771" s="3">
        <v>38.5</v>
      </c>
      <c r="AF771" s="3">
        <v>23.0</v>
      </c>
      <c r="AG771" s="3">
        <v>8.5</v>
      </c>
      <c r="AH771" s="3">
        <v>62.3</v>
      </c>
      <c r="AI771" s="3">
        <v>39.63</v>
      </c>
      <c r="AJ771" s="3">
        <v>14.7</v>
      </c>
      <c r="AK771" s="3">
        <v>30.56</v>
      </c>
      <c r="AL771" s="3">
        <v>40.38</v>
      </c>
      <c r="AM771" s="3">
        <v>37.0</v>
      </c>
      <c r="AN771" s="3">
        <v>29.91</v>
      </c>
      <c r="AO771" s="3">
        <v>89.9</v>
      </c>
      <c r="AP771" s="3">
        <v>3.88</v>
      </c>
      <c r="AQ771" s="3">
        <v>26.0</v>
      </c>
      <c r="AR771" s="3">
        <v>47.9</v>
      </c>
      <c r="AS771" s="3">
        <v>46.0</v>
      </c>
      <c r="AT771" s="3">
        <v>69.0</v>
      </c>
      <c r="AU771" s="3">
        <v>73.98</v>
      </c>
      <c r="AV771" s="3">
        <v>39.9</v>
      </c>
      <c r="AW771" s="3">
        <v>67.96</v>
      </c>
      <c r="AX771" s="3">
        <v>21.9</v>
      </c>
      <c r="AY771" s="3">
        <v>32.75</v>
      </c>
      <c r="AZ771" s="3">
        <v>288.8</v>
      </c>
    </row>
    <row r="772" ht="15.75" customHeight="1">
      <c r="A772" s="2" t="s">
        <v>83</v>
      </c>
      <c r="B772" s="2">
        <v>21.23</v>
      </c>
    </row>
    <row r="773" ht="15.75" customHeight="1">
      <c r="A773" s="2" t="s">
        <v>95</v>
      </c>
      <c r="B773" s="2">
        <v>285.5</v>
      </c>
    </row>
    <row r="774" ht="15.75" customHeight="1"/>
    <row r="775" ht="15.75" customHeight="1"/>
    <row r="776" ht="15.75" customHeight="1"/>
    <row r="777" ht="15.75" customHeight="1">
      <c r="A777" s="2" t="s">
        <v>1</v>
      </c>
      <c r="B777" s="2">
        <f>SUM(B771:CH776)</f>
        <v>3210.17</v>
      </c>
    </row>
    <row r="778" ht="15.75" customHeight="1"/>
    <row r="779" ht="15.75" customHeight="1">
      <c r="A779" s="2" t="s">
        <v>45</v>
      </c>
    </row>
    <row r="780" ht="15.75" customHeight="1">
      <c r="A780" s="2" t="s">
        <v>0</v>
      </c>
      <c r="B780" s="3">
        <v>37.03</v>
      </c>
      <c r="C780" s="3">
        <v>34.27</v>
      </c>
      <c r="D780" s="3">
        <v>109.6</v>
      </c>
      <c r="E780" s="3">
        <v>76.8</v>
      </c>
      <c r="F780" s="3">
        <v>98.81</v>
      </c>
      <c r="G780" s="3">
        <v>10.58</v>
      </c>
      <c r="H780" s="3">
        <v>179.9</v>
      </c>
      <c r="I780" s="3">
        <v>11.49</v>
      </c>
      <c r="J780" s="3">
        <v>86.66</v>
      </c>
      <c r="K780" s="3">
        <v>49.8</v>
      </c>
      <c r="L780" s="3">
        <v>288.8</v>
      </c>
      <c r="M780" s="3">
        <v>21.0</v>
      </c>
      <c r="N780" s="3">
        <v>72.0</v>
      </c>
      <c r="O780" s="3">
        <v>23.0</v>
      </c>
      <c r="P780" s="3">
        <v>145.0</v>
      </c>
      <c r="Q780" s="3">
        <v>70.0</v>
      </c>
      <c r="R780" s="3">
        <v>66.0</v>
      </c>
      <c r="S780" s="3">
        <v>135.0</v>
      </c>
      <c r="T780" s="3">
        <v>102.9</v>
      </c>
      <c r="U780" s="3">
        <v>50.56</v>
      </c>
      <c r="V780" s="3">
        <v>73.97</v>
      </c>
      <c r="W780" s="3">
        <v>8.5</v>
      </c>
      <c r="X780" s="3">
        <v>47.0</v>
      </c>
      <c r="Y780" s="3">
        <v>36.0</v>
      </c>
      <c r="Z780" s="3">
        <v>36.7</v>
      </c>
      <c r="AA780" s="3">
        <v>99.6</v>
      </c>
      <c r="AB780" s="3">
        <v>76.9</v>
      </c>
      <c r="AC780" s="3">
        <v>55.17</v>
      </c>
      <c r="AD780" s="3">
        <v>186.68</v>
      </c>
      <c r="AE780" s="3">
        <v>57.0</v>
      </c>
      <c r="AF780" s="3">
        <v>21.5</v>
      </c>
      <c r="AG780" s="3">
        <v>15.0</v>
      </c>
      <c r="AH780" s="3">
        <v>28.5</v>
      </c>
      <c r="AI780" s="3">
        <v>38.0</v>
      </c>
      <c r="AJ780" s="3">
        <v>62.0</v>
      </c>
      <c r="AK780" s="3">
        <v>21.0</v>
      </c>
      <c r="AL780" s="3">
        <v>26.0</v>
      </c>
      <c r="AM780" s="3">
        <v>81.0</v>
      </c>
      <c r="AN780" s="3">
        <v>66.0</v>
      </c>
      <c r="AO780" s="3">
        <v>19.99</v>
      </c>
      <c r="AP780" s="3">
        <v>15.87</v>
      </c>
      <c r="AQ780" s="3">
        <v>82.03</v>
      </c>
      <c r="AR780" s="3">
        <v>57.06</v>
      </c>
      <c r="AS780" s="3">
        <v>40.33</v>
      </c>
      <c r="AT780" s="3">
        <v>159.7</v>
      </c>
      <c r="AU780" s="3">
        <v>136.9</v>
      </c>
      <c r="AV780" s="3">
        <v>73.97</v>
      </c>
    </row>
    <row r="781" ht="15.75" customHeight="1">
      <c r="A781" s="2" t="s">
        <v>83</v>
      </c>
      <c r="B781" s="3">
        <v>21.23</v>
      </c>
    </row>
    <row r="782" ht="15.75" customHeight="1"/>
    <row r="783" ht="15.75" customHeight="1"/>
    <row r="784" ht="15.75" customHeight="1"/>
    <row r="785" ht="15.75" customHeight="1"/>
    <row r="786" ht="15.75" customHeight="1">
      <c r="A786" s="2" t="s">
        <v>1</v>
      </c>
      <c r="B786" s="2">
        <f>SUM(B780:BT785)</f>
        <v>3312.8</v>
      </c>
    </row>
    <row r="787" ht="15.75" customHeight="1"/>
    <row r="788" ht="15.75" customHeight="1">
      <c r="A788" s="2" t="s">
        <v>96</v>
      </c>
    </row>
    <row r="789" ht="15.75" customHeight="1">
      <c r="A789" s="2" t="s">
        <v>0</v>
      </c>
      <c r="B789" s="3">
        <v>34.27</v>
      </c>
      <c r="C789" s="3">
        <v>109.6</v>
      </c>
      <c r="D789" s="3">
        <v>76.8</v>
      </c>
      <c r="E789" s="3">
        <v>98.81</v>
      </c>
      <c r="F789" s="3">
        <v>10.58</v>
      </c>
      <c r="G789" s="3">
        <v>179.9</v>
      </c>
      <c r="H789" s="3">
        <v>11.49</v>
      </c>
      <c r="I789" s="3">
        <v>12.0</v>
      </c>
      <c r="J789" s="3">
        <v>49.8</v>
      </c>
      <c r="K789" s="3">
        <v>288.8</v>
      </c>
      <c r="L789" s="3">
        <v>186.68</v>
      </c>
      <c r="M789" s="3">
        <v>99.9</v>
      </c>
      <c r="N789" s="3">
        <v>13.17</v>
      </c>
      <c r="O789" s="3">
        <v>15.87</v>
      </c>
      <c r="P789" s="3">
        <v>127.55</v>
      </c>
      <c r="Q789" s="3">
        <v>138.0</v>
      </c>
      <c r="R789" s="3">
        <v>15.48</v>
      </c>
      <c r="S789" s="3">
        <v>73.63</v>
      </c>
      <c r="T789" s="3">
        <v>23.0</v>
      </c>
      <c r="U789" s="3">
        <v>34.0</v>
      </c>
      <c r="V789" s="3">
        <v>72.0</v>
      </c>
      <c r="W789" s="3">
        <v>26.5</v>
      </c>
      <c r="X789" s="3">
        <v>28.8</v>
      </c>
      <c r="Y789" s="3">
        <v>30.0</v>
      </c>
      <c r="Z789" s="3">
        <v>41.0</v>
      </c>
      <c r="AA789" s="3">
        <v>68.0</v>
      </c>
      <c r="AB789" s="3">
        <v>20.0</v>
      </c>
      <c r="AC789" s="3">
        <v>49.7</v>
      </c>
      <c r="AD789" s="3">
        <v>8.5</v>
      </c>
      <c r="AE789" s="3">
        <v>73.0</v>
      </c>
      <c r="AF789" s="3">
        <v>46.0</v>
      </c>
      <c r="AG789" s="3">
        <v>49.95</v>
      </c>
      <c r="AH789" s="3">
        <v>13.9</v>
      </c>
      <c r="AI789" s="3">
        <v>15.7</v>
      </c>
      <c r="AJ789" s="3">
        <v>134.8</v>
      </c>
      <c r="AK789" s="3">
        <v>65.0</v>
      </c>
      <c r="AL789" s="3">
        <v>152.55</v>
      </c>
      <c r="AM789" s="3">
        <v>51.37</v>
      </c>
      <c r="AN789" s="3">
        <v>170.0</v>
      </c>
      <c r="AO789" s="3">
        <v>64.35</v>
      </c>
      <c r="AP789" s="3">
        <v>119.9</v>
      </c>
      <c r="AQ789" s="3">
        <v>54.0</v>
      </c>
      <c r="AR789" s="3">
        <v>88.0</v>
      </c>
      <c r="AS789" s="3">
        <v>26.0</v>
      </c>
      <c r="AT789" s="3">
        <v>64.83</v>
      </c>
      <c r="AU789" s="3">
        <v>83.92</v>
      </c>
      <c r="AV789" s="3">
        <v>33.8</v>
      </c>
      <c r="AW789" s="3">
        <v>43.0</v>
      </c>
      <c r="AX789" s="3">
        <v>16.0</v>
      </c>
    </row>
    <row r="790" ht="15.75" customHeight="1">
      <c r="A790" s="2" t="s">
        <v>83</v>
      </c>
      <c r="B790" s="3">
        <v>21.23</v>
      </c>
    </row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>
      <c r="A796" s="2" t="s">
        <v>2</v>
      </c>
      <c r="B796" s="2">
        <f>SUM(B789:BB795)</f>
        <v>3331.13</v>
      </c>
    </row>
    <row r="797" ht="15.75" customHeight="1">
      <c r="A797" s="2" t="s">
        <v>97</v>
      </c>
    </row>
    <row r="798" ht="15.75" customHeight="1">
      <c r="A798" s="2" t="s">
        <v>0</v>
      </c>
      <c r="B798" s="3">
        <v>34.27</v>
      </c>
      <c r="C798" s="3">
        <v>109.6</v>
      </c>
      <c r="D798" s="3">
        <v>76.8</v>
      </c>
      <c r="E798" s="3">
        <v>98.81</v>
      </c>
      <c r="F798" s="3">
        <v>10.58</v>
      </c>
      <c r="G798" s="3">
        <v>179.9</v>
      </c>
      <c r="H798" s="3">
        <v>11.49</v>
      </c>
      <c r="I798" s="3">
        <v>288.8</v>
      </c>
      <c r="J798" s="3">
        <v>186.68</v>
      </c>
      <c r="K798" s="3">
        <v>13.17</v>
      </c>
      <c r="L798" s="3">
        <v>15.87</v>
      </c>
      <c r="M798" s="3">
        <v>13.9</v>
      </c>
      <c r="N798" s="3">
        <v>65.0</v>
      </c>
      <c r="O798" s="3">
        <v>35.3</v>
      </c>
      <c r="P798" s="3">
        <v>43.0</v>
      </c>
      <c r="Q798" s="3">
        <v>163.35</v>
      </c>
      <c r="R798" s="3">
        <v>79.9</v>
      </c>
      <c r="S798" s="3">
        <v>42.64</v>
      </c>
      <c r="T798" s="3">
        <v>42.6</v>
      </c>
      <c r="U798" s="3">
        <v>37.25</v>
      </c>
      <c r="V798" s="3">
        <v>42.0</v>
      </c>
      <c r="W798" s="3">
        <v>133.69</v>
      </c>
      <c r="X798" s="3">
        <v>42.5</v>
      </c>
      <c r="Y798" s="3">
        <v>28.0</v>
      </c>
      <c r="Z798" s="3">
        <v>35.26</v>
      </c>
      <c r="AA798" s="3">
        <v>48.27</v>
      </c>
      <c r="AB798" s="3">
        <v>102.3</v>
      </c>
      <c r="AC798" s="3">
        <v>8.5</v>
      </c>
      <c r="AD798" s="3">
        <v>197.45</v>
      </c>
      <c r="AE798" s="3">
        <v>70.0</v>
      </c>
      <c r="AF798" s="3">
        <v>3.99</v>
      </c>
      <c r="AG798" s="3">
        <v>104.0</v>
      </c>
      <c r="AH798" s="3">
        <v>14.38</v>
      </c>
      <c r="AI798" s="3">
        <v>6.0</v>
      </c>
      <c r="AJ798" s="3">
        <v>36.0</v>
      </c>
      <c r="AK798" s="3">
        <v>52.72</v>
      </c>
      <c r="AL798" s="3">
        <v>76.0</v>
      </c>
      <c r="AM798" s="3">
        <v>156.79</v>
      </c>
      <c r="AN798" s="3">
        <v>26.0</v>
      </c>
      <c r="AO798" s="3">
        <v>26.0</v>
      </c>
      <c r="AP798" s="3">
        <v>57.25</v>
      </c>
      <c r="AQ798" s="3">
        <v>24.12</v>
      </c>
      <c r="AR798" s="3">
        <v>25.4</v>
      </c>
      <c r="AS798" s="3">
        <v>100.62</v>
      </c>
      <c r="AT798" s="3">
        <v>112.8</v>
      </c>
      <c r="AU798" s="3">
        <v>78.0</v>
      </c>
      <c r="AV798" s="3">
        <v>190.65</v>
      </c>
      <c r="AW798" s="3">
        <v>58.96</v>
      </c>
      <c r="AX798" s="3">
        <v>151.44</v>
      </c>
      <c r="AY798" s="3">
        <v>46.4</v>
      </c>
    </row>
    <row r="799" ht="15.75" customHeight="1">
      <c r="A799" s="2" t="s">
        <v>83</v>
      </c>
      <c r="B799" s="3">
        <v>21.23</v>
      </c>
    </row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>
      <c r="A805" s="2" t="s">
        <v>2</v>
      </c>
      <c r="B805" s="2">
        <f>SUM(B798:BZ804)</f>
        <v>3625.63</v>
      </c>
    </row>
    <row r="806" ht="15.75" customHeight="1">
      <c r="A806" s="2" t="s">
        <v>98</v>
      </c>
    </row>
    <row r="807" ht="15.75" customHeight="1">
      <c r="A807" s="2" t="s">
        <v>0</v>
      </c>
      <c r="B807" s="3">
        <v>34.27</v>
      </c>
      <c r="C807" s="3">
        <v>98.81</v>
      </c>
      <c r="D807" s="3">
        <v>10.58</v>
      </c>
      <c r="E807" s="3">
        <v>179.9</v>
      </c>
      <c r="F807" s="3">
        <v>11.49</v>
      </c>
      <c r="G807" s="3">
        <v>288.8</v>
      </c>
      <c r="H807" s="3">
        <v>13.17</v>
      </c>
      <c r="I807" s="3">
        <v>15.87</v>
      </c>
      <c r="J807" s="3">
        <v>13.9</v>
      </c>
      <c r="K807" s="3">
        <v>65.0</v>
      </c>
      <c r="L807" s="3">
        <v>24.12</v>
      </c>
      <c r="M807" s="3">
        <v>76.0</v>
      </c>
      <c r="N807" s="3">
        <v>18.0</v>
      </c>
      <c r="O807" s="3">
        <v>76.45</v>
      </c>
      <c r="P807" s="3">
        <v>100.0</v>
      </c>
      <c r="Q807" s="3">
        <v>43.9</v>
      </c>
      <c r="R807" s="3">
        <v>35.0</v>
      </c>
      <c r="S807" s="3">
        <v>29.9</v>
      </c>
      <c r="T807" s="3">
        <v>220.33</v>
      </c>
      <c r="U807" s="3">
        <v>104.6</v>
      </c>
      <c r="V807" s="3">
        <v>61.5</v>
      </c>
      <c r="W807" s="3">
        <v>36.0</v>
      </c>
      <c r="X807" s="3">
        <v>57.17</v>
      </c>
      <c r="Y807" s="3">
        <v>16.75</v>
      </c>
      <c r="Z807" s="3">
        <v>42.5</v>
      </c>
      <c r="AA807" s="3">
        <v>49.98</v>
      </c>
      <c r="AB807" s="3">
        <v>8.5</v>
      </c>
      <c r="AC807" s="3">
        <v>25.8</v>
      </c>
      <c r="AD807" s="3">
        <v>95.15</v>
      </c>
      <c r="AE807" s="3">
        <v>34.0</v>
      </c>
      <c r="AF807" s="3">
        <v>63.95</v>
      </c>
      <c r="AG807" s="3">
        <v>127.0</v>
      </c>
      <c r="AH807" s="3">
        <v>40.0</v>
      </c>
      <c r="AI807" s="3">
        <v>26.0</v>
      </c>
      <c r="AJ807" s="3">
        <v>62.8</v>
      </c>
      <c r="AK807" s="3">
        <v>30.0</v>
      </c>
      <c r="AL807" s="3">
        <v>91.0</v>
      </c>
      <c r="AM807" s="3">
        <v>57.11</v>
      </c>
      <c r="AN807" s="3">
        <v>33.82</v>
      </c>
      <c r="AO807" s="3">
        <v>24.9</v>
      </c>
      <c r="AP807" s="3">
        <v>42.64</v>
      </c>
      <c r="AQ807" s="3">
        <v>46.5</v>
      </c>
      <c r="AR807" s="3">
        <v>22.96</v>
      </c>
      <c r="AS807" s="3">
        <v>48.36</v>
      </c>
      <c r="AT807" s="3">
        <v>48.4</v>
      </c>
    </row>
    <row r="808" ht="15.75" customHeight="1">
      <c r="A808" s="2" t="s">
        <v>83</v>
      </c>
      <c r="B808" s="3">
        <v>21.23</v>
      </c>
    </row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>
      <c r="A814" s="2" t="s">
        <v>2</v>
      </c>
      <c r="B814" s="2">
        <f>SUM(B807:BH813)</f>
        <v>2674.11</v>
      </c>
    </row>
    <row r="815" ht="15.75" customHeight="1">
      <c r="A815" s="2" t="s">
        <v>99</v>
      </c>
    </row>
    <row r="816" ht="15.75" customHeight="1">
      <c r="A816" s="2" t="s">
        <v>0</v>
      </c>
      <c r="B816" s="3">
        <v>10.58</v>
      </c>
      <c r="C816" s="3">
        <v>179.9</v>
      </c>
      <c r="D816" s="3">
        <v>11.49</v>
      </c>
      <c r="E816" s="3">
        <v>288.8</v>
      </c>
      <c r="F816" s="3">
        <v>13.17</v>
      </c>
      <c r="G816" s="3">
        <v>15.87</v>
      </c>
      <c r="H816" s="3">
        <v>13.9</v>
      </c>
      <c r="I816" s="3">
        <v>65.0</v>
      </c>
      <c r="J816" s="3">
        <v>24.12</v>
      </c>
      <c r="K816" s="3">
        <v>76.0</v>
      </c>
      <c r="L816" s="3">
        <v>18.0</v>
      </c>
      <c r="M816" s="3">
        <v>76.45</v>
      </c>
      <c r="N816" s="3">
        <v>42.64</v>
      </c>
      <c r="O816" s="3">
        <v>33.82</v>
      </c>
      <c r="P816" s="3">
        <v>92.41</v>
      </c>
      <c r="Q816" s="3">
        <v>5.0</v>
      </c>
      <c r="R816" s="3">
        <v>100.0</v>
      </c>
      <c r="S816" s="3">
        <v>33.97</v>
      </c>
      <c r="T816" s="3">
        <v>145.0</v>
      </c>
      <c r="U816" s="3">
        <v>70.18</v>
      </c>
      <c r="V816" s="3">
        <v>200.0</v>
      </c>
      <c r="W816" s="3">
        <v>20.0</v>
      </c>
      <c r="X816" s="3">
        <v>60.0</v>
      </c>
      <c r="Y816" s="3">
        <v>48.6</v>
      </c>
      <c r="Z816" s="3">
        <v>44.9</v>
      </c>
      <c r="AA816" s="3">
        <v>30.0</v>
      </c>
      <c r="AB816" s="3">
        <v>16.0</v>
      </c>
      <c r="AC816" s="3">
        <v>21.9</v>
      </c>
      <c r="AD816" s="3">
        <v>59.5</v>
      </c>
      <c r="AE816" s="3">
        <v>13.37</v>
      </c>
      <c r="AF816" s="3">
        <v>5.0</v>
      </c>
      <c r="AG816" s="3">
        <v>45.96</v>
      </c>
      <c r="AH816" s="3">
        <v>64.53</v>
      </c>
      <c r="AI816" s="3">
        <v>60.7</v>
      </c>
      <c r="AJ816" s="3">
        <v>31.0</v>
      </c>
      <c r="AK816" s="3">
        <v>15.0</v>
      </c>
      <c r="AL816" s="3">
        <v>28.0</v>
      </c>
      <c r="AM816" s="3">
        <v>30.0</v>
      </c>
      <c r="AN816" s="3">
        <v>73.8</v>
      </c>
      <c r="AO816" s="3">
        <v>39.97</v>
      </c>
      <c r="AP816" s="3">
        <v>32.0</v>
      </c>
      <c r="AQ816" s="3">
        <v>20.0</v>
      </c>
      <c r="AR816" s="3">
        <v>76.0</v>
      </c>
      <c r="AS816" s="3">
        <v>40.0</v>
      </c>
      <c r="AT816" s="3">
        <v>26.0</v>
      </c>
      <c r="AU816" s="3">
        <v>15.99</v>
      </c>
      <c r="AV816" s="3">
        <v>7.0</v>
      </c>
      <c r="AW816" s="3">
        <v>52.8</v>
      </c>
      <c r="AX816" s="3">
        <v>30.0</v>
      </c>
      <c r="AY816" s="3">
        <v>150.0</v>
      </c>
      <c r="AZ816" s="3">
        <v>30.0</v>
      </c>
      <c r="BA816" s="3">
        <v>38.0</v>
      </c>
      <c r="BB816" s="3">
        <v>16.7</v>
      </c>
      <c r="BC816" s="3">
        <v>44.63</v>
      </c>
      <c r="BD816" s="3">
        <v>11.0</v>
      </c>
      <c r="BE816" s="3">
        <v>39.9</v>
      </c>
      <c r="BF816" s="3">
        <v>80.18</v>
      </c>
      <c r="BG816" s="3">
        <v>84.0</v>
      </c>
    </row>
    <row r="817" ht="15.75" customHeight="1">
      <c r="A817" s="2" t="s">
        <v>83</v>
      </c>
      <c r="B817" s="3">
        <v>21.23</v>
      </c>
    </row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>
      <c r="A823" s="2" t="s">
        <v>2</v>
      </c>
      <c r="B823" s="2">
        <f>SUM(B816:BI822)</f>
        <v>3039.96</v>
      </c>
    </row>
    <row r="824" ht="15.75" customHeight="1">
      <c r="A824" s="2" t="s">
        <v>100</v>
      </c>
    </row>
    <row r="825" ht="15.75" customHeight="1">
      <c r="A825" s="2" t="s">
        <v>0</v>
      </c>
      <c r="B825" s="3">
        <v>11.49</v>
      </c>
      <c r="C825" s="3">
        <v>288.8</v>
      </c>
      <c r="D825" s="3">
        <v>13.17</v>
      </c>
      <c r="E825" s="3">
        <v>15.87</v>
      </c>
      <c r="F825" s="3">
        <v>13.9</v>
      </c>
      <c r="G825" s="3">
        <v>65.0</v>
      </c>
      <c r="H825" s="3">
        <v>24.12</v>
      </c>
      <c r="I825" s="3">
        <v>76.0</v>
      </c>
      <c r="J825" s="3">
        <v>18.0</v>
      </c>
      <c r="K825" s="3">
        <v>33.82</v>
      </c>
      <c r="L825" s="3">
        <v>92.41</v>
      </c>
      <c r="M825" s="3">
        <v>200.0</v>
      </c>
      <c r="N825" s="3">
        <v>200.0</v>
      </c>
      <c r="O825" s="3">
        <v>13.37</v>
      </c>
      <c r="P825" s="3">
        <v>167.9</v>
      </c>
      <c r="Q825" s="3">
        <v>74.85</v>
      </c>
      <c r="R825" s="3">
        <v>68.8</v>
      </c>
      <c r="S825" s="3">
        <v>18.67</v>
      </c>
      <c r="T825" s="3">
        <v>8.0</v>
      </c>
      <c r="U825" s="3">
        <v>96.0</v>
      </c>
      <c r="V825" s="3">
        <v>144.0</v>
      </c>
      <c r="W825" s="3">
        <v>20.0</v>
      </c>
      <c r="X825" s="3">
        <v>204.0</v>
      </c>
      <c r="Y825" s="3">
        <v>21.45</v>
      </c>
      <c r="Z825" s="3">
        <v>62.06</v>
      </c>
      <c r="AA825" s="3">
        <v>21.9</v>
      </c>
      <c r="AB825" s="3">
        <v>40.25</v>
      </c>
      <c r="AC825" s="3">
        <v>79.54</v>
      </c>
      <c r="AD825" s="3">
        <v>67.0</v>
      </c>
      <c r="AE825" s="3">
        <v>26.0</v>
      </c>
      <c r="AF825" s="3">
        <v>45.0</v>
      </c>
      <c r="AG825" s="3">
        <v>22.73</v>
      </c>
      <c r="AH825" s="3">
        <v>37.0</v>
      </c>
      <c r="AI825" s="3">
        <v>11.0</v>
      </c>
      <c r="AJ825" s="3">
        <v>39.9</v>
      </c>
      <c r="AK825" s="3">
        <v>9.47</v>
      </c>
      <c r="AL825" s="3">
        <v>25.47</v>
      </c>
      <c r="AM825" s="3">
        <v>51.0</v>
      </c>
      <c r="AN825" s="3">
        <v>16.5</v>
      </c>
      <c r="AO825" s="3">
        <v>20.15</v>
      </c>
      <c r="AP825" s="3">
        <v>77.0</v>
      </c>
      <c r="AQ825" s="3">
        <v>15.0</v>
      </c>
      <c r="AR825" s="3">
        <v>57.0</v>
      </c>
      <c r="AS825" s="3">
        <v>20.0</v>
      </c>
      <c r="AT825" s="3">
        <v>40.7</v>
      </c>
      <c r="AU825" s="3">
        <v>46.48</v>
      </c>
      <c r="AV825" s="3">
        <v>56.95</v>
      </c>
      <c r="AW825" s="3">
        <v>60.61</v>
      </c>
      <c r="AX825" s="3">
        <v>74.0</v>
      </c>
      <c r="AY825" s="3">
        <v>26.0</v>
      </c>
      <c r="AZ825" s="3">
        <v>16.9</v>
      </c>
      <c r="BA825" s="3">
        <v>5.0</v>
      </c>
      <c r="BB825" s="3">
        <v>49.0</v>
      </c>
      <c r="BC825" s="3">
        <v>39.9</v>
      </c>
      <c r="BD825" s="3">
        <v>39.6</v>
      </c>
      <c r="BE825" s="3">
        <v>160.55</v>
      </c>
      <c r="BF825" s="3">
        <v>70.65</v>
      </c>
      <c r="BG825" s="3">
        <v>93.51</v>
      </c>
      <c r="BH825" s="3">
        <v>12.0</v>
      </c>
      <c r="BI825" s="3">
        <v>22.0</v>
      </c>
      <c r="BJ825" s="3">
        <v>84.34</v>
      </c>
      <c r="BK825" s="3">
        <v>55.0</v>
      </c>
    </row>
    <row r="826" ht="15.75" customHeight="1">
      <c r="A826" s="2" t="s">
        <v>83</v>
      </c>
      <c r="B826" s="3">
        <v>21.23</v>
      </c>
    </row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>
      <c r="A832" s="2" t="s">
        <v>2</v>
      </c>
      <c r="B832" s="2">
        <f>SUM(B825:BO831)</f>
        <v>3608.01</v>
      </c>
    </row>
    <row r="833" ht="15.75" customHeight="1">
      <c r="A833" s="2" t="s">
        <v>101</v>
      </c>
    </row>
    <row r="834" ht="15.75" customHeight="1">
      <c r="A834" s="2" t="s">
        <v>0</v>
      </c>
      <c r="B834" s="3">
        <v>288.8</v>
      </c>
      <c r="C834" s="3">
        <v>11.49</v>
      </c>
      <c r="D834" s="3">
        <v>79.54</v>
      </c>
      <c r="E834" s="3">
        <v>15.87</v>
      </c>
      <c r="F834" s="3">
        <v>13.9</v>
      </c>
      <c r="G834" s="3">
        <v>24.12</v>
      </c>
      <c r="H834" s="3">
        <v>76.0</v>
      </c>
      <c r="I834" s="3">
        <v>18.0</v>
      </c>
      <c r="J834" s="3">
        <v>92.41</v>
      </c>
      <c r="K834" s="3">
        <v>200.0</v>
      </c>
      <c r="L834" s="3">
        <v>13.37</v>
      </c>
      <c r="M834" s="3">
        <v>74.85</v>
      </c>
      <c r="N834" s="3">
        <v>167.9</v>
      </c>
      <c r="P834" s="3">
        <v>21.45</v>
      </c>
      <c r="Q834" s="3">
        <v>84.34</v>
      </c>
      <c r="R834" s="3">
        <v>284.88</v>
      </c>
      <c r="S834" s="3">
        <v>16.59</v>
      </c>
      <c r="T834" s="3">
        <v>18.34</v>
      </c>
      <c r="U834" s="3">
        <v>77.6</v>
      </c>
      <c r="V834" s="3">
        <v>29.0</v>
      </c>
      <c r="W834" s="3">
        <v>45.96</v>
      </c>
      <c r="X834" s="3">
        <v>14.0</v>
      </c>
      <c r="Y834" s="3">
        <v>49.8</v>
      </c>
      <c r="Z834" s="3">
        <v>145.0</v>
      </c>
      <c r="AA834" s="3">
        <v>134.75</v>
      </c>
      <c r="AB834" s="3">
        <v>13.0</v>
      </c>
      <c r="AC834" s="3">
        <v>192.5</v>
      </c>
      <c r="AD834" s="3">
        <v>79.9</v>
      </c>
      <c r="AE834" s="3">
        <v>21.9</v>
      </c>
      <c r="AF834" s="3">
        <v>73.7</v>
      </c>
      <c r="AG834" s="3">
        <v>28.6</v>
      </c>
      <c r="AH834" s="3">
        <v>210.87</v>
      </c>
      <c r="AI834" s="3">
        <v>6.0</v>
      </c>
      <c r="AJ834" s="3">
        <v>67.0</v>
      </c>
      <c r="AK834" s="3">
        <v>28.0</v>
      </c>
      <c r="AL834" s="3">
        <v>33.16</v>
      </c>
      <c r="AM834" s="3">
        <v>50.0</v>
      </c>
      <c r="AN834" s="3">
        <v>35.0</v>
      </c>
      <c r="AO834" s="3">
        <v>10.0</v>
      </c>
      <c r="AP834" s="3">
        <v>25.0</v>
      </c>
      <c r="AQ834" s="3">
        <v>15.0</v>
      </c>
      <c r="AR834" s="3">
        <v>168.57</v>
      </c>
      <c r="AS834" s="3">
        <v>28.25</v>
      </c>
      <c r="AT834" s="3">
        <v>40.7</v>
      </c>
      <c r="AU834" s="3">
        <v>46.0</v>
      </c>
      <c r="AV834" s="3">
        <v>6.5</v>
      </c>
      <c r="AW834" s="3">
        <v>73.5</v>
      </c>
      <c r="AX834" s="3">
        <v>16.0</v>
      </c>
      <c r="AY834" s="3">
        <v>12.0</v>
      </c>
      <c r="AZ834" s="3">
        <v>5.0</v>
      </c>
      <c r="BA834" s="3">
        <v>32.0</v>
      </c>
      <c r="BB834" s="3">
        <v>58.39</v>
      </c>
      <c r="BC834" s="3">
        <v>52.8</v>
      </c>
      <c r="BD834" s="3">
        <v>26.0</v>
      </c>
      <c r="BE834" s="3">
        <v>8.0</v>
      </c>
      <c r="BF834" s="3">
        <v>14.0</v>
      </c>
      <c r="BG834" s="3">
        <v>39.97</v>
      </c>
      <c r="BH834" s="3">
        <v>25.9</v>
      </c>
      <c r="BI834" s="3">
        <v>90.9</v>
      </c>
      <c r="BJ834" s="3">
        <v>82.53</v>
      </c>
      <c r="BK834" s="3">
        <v>94.71</v>
      </c>
      <c r="BL834" s="3">
        <v>136.0</v>
      </c>
      <c r="BM834" s="3">
        <v>29.43</v>
      </c>
      <c r="BN834" s="3">
        <v>19.8</v>
      </c>
      <c r="BO834" s="3">
        <v>75.0</v>
      </c>
    </row>
    <row r="835" ht="15.75" customHeight="1">
      <c r="A835" s="2" t="s">
        <v>83</v>
      </c>
      <c r="B835" s="3">
        <v>21.23</v>
      </c>
    </row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>
      <c r="A841" s="2" t="s">
        <v>2</v>
      </c>
      <c r="B841" s="2">
        <f>SUM(B834:BQ840)</f>
        <v>4090.77</v>
      </c>
    </row>
    <row r="842" ht="15.75" customHeight="1">
      <c r="A842" s="2" t="s">
        <v>102</v>
      </c>
    </row>
    <row r="843" ht="15.75" customHeight="1">
      <c r="A843" s="2" t="s">
        <v>0</v>
      </c>
      <c r="B843" s="3">
        <v>288.8</v>
      </c>
      <c r="C843" s="3">
        <v>15.87</v>
      </c>
      <c r="D843" s="3">
        <v>13.9</v>
      </c>
      <c r="E843" s="3">
        <v>24.12</v>
      </c>
      <c r="F843" s="3">
        <v>76.0</v>
      </c>
      <c r="G843" s="3">
        <v>18.0</v>
      </c>
      <c r="H843" s="3">
        <v>92.41</v>
      </c>
      <c r="I843" s="3">
        <v>200.0</v>
      </c>
      <c r="J843" s="3">
        <v>13.37</v>
      </c>
      <c r="K843" s="3">
        <v>21.45</v>
      </c>
      <c r="L843" s="3">
        <v>84.34</v>
      </c>
      <c r="M843" s="3">
        <v>284.88</v>
      </c>
      <c r="N843" s="3">
        <v>16.59</v>
      </c>
      <c r="O843" s="3">
        <v>18.34</v>
      </c>
      <c r="P843" s="3">
        <v>29.43</v>
      </c>
      <c r="Q843" s="3">
        <v>75.0</v>
      </c>
      <c r="R843" s="3">
        <v>79.54</v>
      </c>
      <c r="S843" s="3">
        <v>42.5</v>
      </c>
      <c r="T843" s="3">
        <v>13.0</v>
      </c>
      <c r="U843" s="3">
        <v>20.75</v>
      </c>
      <c r="V843" s="3">
        <v>5.0</v>
      </c>
      <c r="W843" s="3">
        <v>40.88</v>
      </c>
      <c r="X843" s="3">
        <v>192.04</v>
      </c>
      <c r="Y843" s="3">
        <v>73.33</v>
      </c>
      <c r="Z843" s="3">
        <v>47.37</v>
      </c>
      <c r="AA843" s="3">
        <v>40.0</v>
      </c>
      <c r="AB843" s="3">
        <v>12.0</v>
      </c>
      <c r="AC843" s="3">
        <v>47.0</v>
      </c>
      <c r="AD843" s="3">
        <v>30.0</v>
      </c>
      <c r="AE843" s="3">
        <v>24.0</v>
      </c>
      <c r="AF843" s="3">
        <v>50.0</v>
      </c>
      <c r="AG843" s="3">
        <v>23.0</v>
      </c>
      <c r="AH843" s="3">
        <v>65.93</v>
      </c>
      <c r="AI843" s="3">
        <v>27.86</v>
      </c>
      <c r="AJ843" s="3">
        <v>21.9</v>
      </c>
      <c r="AK843" s="3">
        <v>75.4</v>
      </c>
      <c r="AL843" s="3">
        <v>45.5</v>
      </c>
      <c r="AM843" s="3">
        <v>73.5</v>
      </c>
      <c r="AN843" s="3">
        <v>60.68</v>
      </c>
      <c r="AO843" s="3">
        <v>176.77</v>
      </c>
      <c r="AP843" s="3">
        <v>120.0</v>
      </c>
      <c r="AQ843" s="3">
        <v>49.9</v>
      </c>
      <c r="AR843" s="3">
        <v>19.0</v>
      </c>
      <c r="AS843" s="3">
        <v>63.73</v>
      </c>
      <c r="AT843" s="3">
        <v>49.0</v>
      </c>
      <c r="AU843" s="3">
        <v>10.0</v>
      </c>
      <c r="AV843" s="3">
        <v>131.56</v>
      </c>
      <c r="AW843" s="3">
        <v>50.0</v>
      </c>
      <c r="AX843" s="3">
        <v>76.0</v>
      </c>
      <c r="AY843" s="3">
        <v>97.0</v>
      </c>
      <c r="AZ843" s="3">
        <v>15.4</v>
      </c>
      <c r="BA843" s="3">
        <v>27.0</v>
      </c>
      <c r="BB843" s="3">
        <v>51.0</v>
      </c>
      <c r="BC843" s="3">
        <v>24.36</v>
      </c>
      <c r="BD843" s="3">
        <v>34.0</v>
      </c>
      <c r="BE843" s="3">
        <v>45.48</v>
      </c>
      <c r="BF843" s="3">
        <v>40.0</v>
      </c>
      <c r="BG843" s="3">
        <v>2.89</v>
      </c>
      <c r="BH843" s="3">
        <v>45.0</v>
      </c>
      <c r="BI843" s="3">
        <v>140.27</v>
      </c>
      <c r="BJ843" s="3">
        <v>10.0</v>
      </c>
      <c r="BK843" s="3">
        <v>19.0</v>
      </c>
      <c r="BL843" s="3">
        <v>36.0</v>
      </c>
      <c r="BM843" s="3">
        <v>158.0</v>
      </c>
      <c r="BN843" s="3">
        <v>12.0</v>
      </c>
      <c r="BO843" s="3">
        <v>15.0</v>
      </c>
      <c r="BP843" s="3">
        <v>56.27</v>
      </c>
      <c r="BQ843" s="3">
        <v>48.0</v>
      </c>
      <c r="BR843" s="3">
        <v>26.0</v>
      </c>
      <c r="BS843" s="3">
        <v>50.0</v>
      </c>
      <c r="BT843" s="3">
        <v>15.56</v>
      </c>
      <c r="BU843" s="3">
        <v>72.0</v>
      </c>
      <c r="BV843" s="3">
        <v>47.0</v>
      </c>
      <c r="BW843" s="3">
        <v>20.0</v>
      </c>
      <c r="BX843" s="3">
        <v>61.15</v>
      </c>
      <c r="BY843" s="3">
        <v>25.0</v>
      </c>
      <c r="BZ843" s="3">
        <v>4.0</v>
      </c>
      <c r="CA843" s="3">
        <v>94.36</v>
      </c>
      <c r="CB843" s="3">
        <v>48.0</v>
      </c>
      <c r="CC843" s="3">
        <v>73.0</v>
      </c>
      <c r="CD843" s="3">
        <v>55.5</v>
      </c>
      <c r="CE843" s="3">
        <v>34.0</v>
      </c>
      <c r="CF843" s="3">
        <v>30.0</v>
      </c>
      <c r="CG843" s="3">
        <v>42.0</v>
      </c>
      <c r="CH843" s="3">
        <v>48.5</v>
      </c>
      <c r="CI843" s="3">
        <v>258.17</v>
      </c>
      <c r="CJ843" s="3">
        <v>15.0</v>
      </c>
      <c r="CK843" s="3">
        <v>174.1</v>
      </c>
      <c r="CL843" s="3"/>
    </row>
    <row r="844" ht="15.75" customHeight="1">
      <c r="A844" s="2" t="s">
        <v>83</v>
      </c>
      <c r="B844" s="3">
        <v>21.23</v>
      </c>
    </row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>
      <c r="A850" s="2" t="s">
        <v>2</v>
      </c>
      <c r="B850" s="2">
        <f>SUM(B843:DA849)</f>
        <v>5220.88</v>
      </c>
    </row>
    <row r="851" ht="15.75" customHeight="1">
      <c r="A851" s="2" t="s">
        <v>103</v>
      </c>
    </row>
    <row r="852" ht="15.75" customHeight="1">
      <c r="A852" s="2" t="s">
        <v>0</v>
      </c>
      <c r="F852" s="3"/>
      <c r="G852" s="2">
        <v>18.0</v>
      </c>
      <c r="S852" s="3">
        <v>38.5</v>
      </c>
      <c r="T852" s="3">
        <v>59.74</v>
      </c>
      <c r="U852" s="3">
        <v>68.98</v>
      </c>
      <c r="V852" s="3">
        <v>46.59</v>
      </c>
      <c r="W852" s="3">
        <v>29.65</v>
      </c>
      <c r="X852" s="3">
        <v>70.97</v>
      </c>
      <c r="Y852" s="3">
        <v>183.27</v>
      </c>
      <c r="Z852" s="3">
        <v>21.9</v>
      </c>
      <c r="AA852" s="3">
        <v>67.0</v>
      </c>
      <c r="AB852" s="3">
        <v>48.5</v>
      </c>
      <c r="AC852" s="3">
        <v>258.17</v>
      </c>
      <c r="AD852" s="3">
        <v>12.0</v>
      </c>
      <c r="AE852" s="3">
        <v>15.0</v>
      </c>
      <c r="AF852" s="3">
        <v>200.0</v>
      </c>
      <c r="AG852" s="3">
        <v>145.9</v>
      </c>
      <c r="AH852" s="3">
        <v>62.75</v>
      </c>
      <c r="AI852" s="3">
        <v>50.0</v>
      </c>
      <c r="AJ852" s="3">
        <v>15.5</v>
      </c>
      <c r="AK852" s="3">
        <v>33.26</v>
      </c>
      <c r="AL852" s="3">
        <v>48.4</v>
      </c>
      <c r="AM852" s="3">
        <v>137.0</v>
      </c>
      <c r="AN852" s="3">
        <v>83.85</v>
      </c>
      <c r="AO852" s="3">
        <v>26.0</v>
      </c>
    </row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>
      <c r="A859" s="2" t="s">
        <v>2</v>
      </c>
      <c r="B859" s="2">
        <f>SUM(B852:DK858)</f>
        <v>1740.93</v>
      </c>
    </row>
    <row r="860" ht="15.75" customHeight="1">
      <c r="A860" s="1">
        <v>44228.0</v>
      </c>
    </row>
    <row r="861" ht="15.75" customHeight="1">
      <c r="A861" s="2" t="s">
        <v>0</v>
      </c>
      <c r="B861" s="3">
        <v>15.87</v>
      </c>
      <c r="C861" s="3">
        <v>13.9</v>
      </c>
      <c r="D861" s="3">
        <v>24.12</v>
      </c>
      <c r="E861" s="3">
        <v>76.0</v>
      </c>
      <c r="F861" s="3">
        <v>92.41</v>
      </c>
      <c r="G861" s="3">
        <v>200.0</v>
      </c>
      <c r="H861" s="3">
        <v>13.37</v>
      </c>
      <c r="I861" s="3">
        <v>21.45</v>
      </c>
      <c r="J861" s="3">
        <v>284.88</v>
      </c>
      <c r="K861" s="3">
        <v>16.59</v>
      </c>
      <c r="L861" s="3">
        <v>29.43</v>
      </c>
      <c r="M861" s="3">
        <v>79.54</v>
      </c>
      <c r="N861" s="3">
        <v>65.93</v>
      </c>
      <c r="O861" s="3">
        <v>36.0</v>
      </c>
      <c r="P861" s="3">
        <v>48.5</v>
      </c>
      <c r="Q861" s="3">
        <v>258.17</v>
      </c>
      <c r="R861" s="3">
        <v>12.0</v>
      </c>
      <c r="S861" s="3">
        <v>15.0</v>
      </c>
      <c r="T861" s="3">
        <v>83.85</v>
      </c>
      <c r="U861" s="3">
        <v>288.8</v>
      </c>
      <c r="V861" s="3">
        <v>73.33</v>
      </c>
      <c r="W861" s="3">
        <v>5.0</v>
      </c>
      <c r="X861" s="3">
        <v>9.0</v>
      </c>
      <c r="Y861" s="3">
        <v>47.5</v>
      </c>
      <c r="Z861" s="3">
        <v>53.0</v>
      </c>
      <c r="AA861" s="3">
        <v>18.0</v>
      </c>
      <c r="AB861" s="3">
        <v>16.65</v>
      </c>
      <c r="AC861" s="3">
        <v>129.25</v>
      </c>
      <c r="AD861" s="3">
        <v>50.0</v>
      </c>
      <c r="AE861" s="3">
        <v>150.0</v>
      </c>
      <c r="AF861" s="3">
        <v>43.0</v>
      </c>
      <c r="AG861" s="3">
        <v>14.5</v>
      </c>
      <c r="AH861" s="3">
        <v>21.9</v>
      </c>
      <c r="AI861" s="3">
        <v>37.0</v>
      </c>
      <c r="AJ861" s="3">
        <v>19.5</v>
      </c>
      <c r="AK861" s="3">
        <v>64.83</v>
      </c>
      <c r="AL861" s="3">
        <v>48.99</v>
      </c>
      <c r="AM861" s="3">
        <v>36.69</v>
      </c>
      <c r="AN861" s="3">
        <v>95.0</v>
      </c>
      <c r="AO861" s="3">
        <v>14.0</v>
      </c>
      <c r="AP861" s="3">
        <v>30.0</v>
      </c>
      <c r="AQ861" s="3">
        <v>34.5</v>
      </c>
      <c r="AR861" s="3">
        <v>39.0</v>
      </c>
      <c r="AS861" s="3">
        <v>8.87</v>
      </c>
      <c r="AT861" s="3">
        <v>100.0</v>
      </c>
      <c r="AU861" s="3">
        <v>41.88</v>
      </c>
      <c r="AV861" s="3">
        <v>95.59</v>
      </c>
      <c r="AW861" s="3">
        <v>104.5</v>
      </c>
      <c r="AX861" s="3">
        <v>187.0</v>
      </c>
      <c r="AY861" s="3">
        <v>53.8</v>
      </c>
      <c r="AZ861" s="3">
        <v>57.7</v>
      </c>
      <c r="BA861" s="3">
        <v>57.0</v>
      </c>
      <c r="BB861" s="3">
        <v>47.5</v>
      </c>
      <c r="BC861" s="3">
        <v>5.37</v>
      </c>
      <c r="BD861" s="3">
        <v>31.49</v>
      </c>
      <c r="BE861" s="3">
        <v>48.0</v>
      </c>
      <c r="BF861" s="3">
        <v>46.6</v>
      </c>
      <c r="BG861" s="3">
        <v>60.6</v>
      </c>
      <c r="BH861" s="3">
        <v>21.0</v>
      </c>
      <c r="BI861" s="3">
        <v>70.9</v>
      </c>
      <c r="BJ861" s="3">
        <v>44.46</v>
      </c>
      <c r="BK861" s="3">
        <v>26.0</v>
      </c>
      <c r="BL861" s="3">
        <v>22.4</v>
      </c>
      <c r="BM861" s="3">
        <v>30.0</v>
      </c>
      <c r="BN861" s="3">
        <v>57.66</v>
      </c>
      <c r="BO861" s="3">
        <v>165.88</v>
      </c>
      <c r="BP861" s="3">
        <v>170.0</v>
      </c>
      <c r="BQ861" s="3">
        <v>147.0</v>
      </c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>
      <c r="A868" s="2" t="s">
        <v>2</v>
      </c>
      <c r="B868" s="2">
        <f>SUM(B861:CI867)</f>
        <v>4427.65</v>
      </c>
    </row>
    <row r="869" ht="15.75" customHeight="1">
      <c r="A869" s="1">
        <v>44256.0</v>
      </c>
    </row>
    <row r="870" ht="15.75" customHeight="1">
      <c r="A870" s="2" t="s">
        <v>0</v>
      </c>
      <c r="B870" s="3">
        <v>15.87</v>
      </c>
      <c r="C870" s="3">
        <v>13.9</v>
      </c>
      <c r="D870" s="3">
        <v>24.12</v>
      </c>
      <c r="E870" s="3">
        <v>76.0</v>
      </c>
      <c r="F870" s="3">
        <v>92.41</v>
      </c>
      <c r="G870" s="3">
        <v>200.0</v>
      </c>
      <c r="H870" s="3">
        <v>13.37</v>
      </c>
      <c r="I870" s="3">
        <v>21.45</v>
      </c>
      <c r="J870" s="3">
        <v>16.59</v>
      </c>
      <c r="K870" s="3">
        <v>29.43</v>
      </c>
      <c r="L870" s="3">
        <v>79.54</v>
      </c>
      <c r="M870" s="3">
        <v>65.93</v>
      </c>
      <c r="N870" s="3">
        <v>36.0</v>
      </c>
      <c r="O870" s="3">
        <v>48.5</v>
      </c>
      <c r="P870" s="3">
        <v>12.0</v>
      </c>
      <c r="Q870" s="3">
        <v>15.0</v>
      </c>
      <c r="R870" s="3">
        <v>83.85</v>
      </c>
      <c r="S870" s="3">
        <v>73.33</v>
      </c>
      <c r="T870" s="3">
        <v>284.88</v>
      </c>
      <c r="U870" s="3">
        <v>258.17</v>
      </c>
      <c r="V870" s="3">
        <v>36.69</v>
      </c>
      <c r="W870" s="3">
        <v>5.37</v>
      </c>
      <c r="X870" s="3">
        <v>31.49</v>
      </c>
      <c r="Y870" s="3">
        <v>25.0</v>
      </c>
      <c r="Z870" s="3">
        <v>81.0</v>
      </c>
      <c r="AA870" s="3">
        <v>45.0</v>
      </c>
      <c r="AB870" s="3">
        <v>27.0</v>
      </c>
      <c r="AC870" s="3">
        <v>22.0</v>
      </c>
      <c r="AD870" s="3">
        <v>156.64</v>
      </c>
      <c r="AE870" s="3">
        <v>24.0</v>
      </c>
      <c r="AF870" s="3">
        <v>254.02</v>
      </c>
      <c r="AG870" s="3">
        <v>14.06</v>
      </c>
      <c r="AH870" s="3">
        <v>9.9</v>
      </c>
      <c r="AI870" s="3">
        <v>133.8</v>
      </c>
      <c r="AJ870" s="3">
        <v>69.36</v>
      </c>
      <c r="AK870" s="3">
        <v>90.0</v>
      </c>
      <c r="AL870" s="3">
        <v>45.91</v>
      </c>
      <c r="AM870" s="3">
        <v>34.5</v>
      </c>
      <c r="AN870" s="3">
        <v>26.3</v>
      </c>
      <c r="AO870" s="3">
        <v>21.9</v>
      </c>
      <c r="AP870" s="3">
        <v>97.8</v>
      </c>
      <c r="AQ870" s="3">
        <v>126.39</v>
      </c>
      <c r="AR870" s="3">
        <v>47.0</v>
      </c>
      <c r="AS870" s="3">
        <v>35.0</v>
      </c>
      <c r="AT870" s="3">
        <v>46.0</v>
      </c>
      <c r="AU870" s="3">
        <v>77.99</v>
      </c>
      <c r="AV870" s="3">
        <v>203.39</v>
      </c>
      <c r="AW870" s="3">
        <v>252.78</v>
      </c>
      <c r="AX870" s="3">
        <v>49.7</v>
      </c>
      <c r="AY870" s="3">
        <v>57.04</v>
      </c>
      <c r="AZ870" s="3">
        <v>68.0</v>
      </c>
      <c r="BA870" s="3">
        <v>77.0</v>
      </c>
      <c r="BB870" s="3">
        <v>16.0</v>
      </c>
      <c r="BC870" s="3">
        <v>34.0</v>
      </c>
      <c r="BD870" s="3">
        <v>31.0</v>
      </c>
      <c r="BE870" s="3">
        <v>28.0</v>
      </c>
      <c r="BF870" s="3">
        <v>20.0</v>
      </c>
      <c r="BG870" s="3">
        <v>36.0</v>
      </c>
      <c r="BH870" s="3">
        <v>59.0</v>
      </c>
      <c r="BI870" s="3">
        <v>23.0</v>
      </c>
      <c r="BJ870" s="3">
        <v>22.0</v>
      </c>
      <c r="BK870" s="3">
        <v>40.0</v>
      </c>
      <c r="BL870" s="3">
        <v>30.0</v>
      </c>
      <c r="BM870" s="3">
        <v>22.0</v>
      </c>
      <c r="BN870" s="3">
        <v>93.0</v>
      </c>
      <c r="BO870" s="3">
        <v>11.7</v>
      </c>
      <c r="BP870" s="3">
        <v>73.87</v>
      </c>
      <c r="BQ870" s="3">
        <v>117.74</v>
      </c>
      <c r="BR870" s="3">
        <v>37.55</v>
      </c>
      <c r="BS870" s="3">
        <v>87.0</v>
      </c>
      <c r="BT870" s="3">
        <v>53.5</v>
      </c>
      <c r="BU870" s="3">
        <v>22.46</v>
      </c>
      <c r="BV870" s="3">
        <v>22.66</v>
      </c>
      <c r="BW870" s="3">
        <v>26.0</v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>
      <c r="A877" s="2" t="s">
        <v>2</v>
      </c>
      <c r="B877" s="2">
        <f>SUM(B870:CV876)</f>
        <v>4658.85</v>
      </c>
    </row>
    <row r="878" ht="15.75" customHeight="1">
      <c r="A878" s="1">
        <v>44287.0</v>
      </c>
    </row>
    <row r="879" ht="15.75" customHeight="1">
      <c r="A879" s="2" t="s">
        <v>0</v>
      </c>
      <c r="B879" s="3">
        <v>15.87</v>
      </c>
      <c r="C879" s="3">
        <v>24.12</v>
      </c>
      <c r="D879" s="3">
        <v>76.0</v>
      </c>
      <c r="E879" s="3">
        <v>92.41</v>
      </c>
      <c r="F879" s="3">
        <v>13.37</v>
      </c>
      <c r="G879" s="3">
        <v>21.45</v>
      </c>
      <c r="H879" s="3">
        <v>16.59</v>
      </c>
      <c r="I879" s="3">
        <v>79.54</v>
      </c>
      <c r="J879" s="3">
        <v>65.93</v>
      </c>
      <c r="K879" s="3">
        <v>36.0</v>
      </c>
      <c r="L879" s="3">
        <v>48.5</v>
      </c>
      <c r="M879" s="3">
        <v>12.0</v>
      </c>
      <c r="N879" s="3">
        <v>15.0</v>
      </c>
      <c r="O879" s="3">
        <v>83.85</v>
      </c>
      <c r="P879" s="3">
        <v>29.43</v>
      </c>
      <c r="Q879" s="3">
        <v>13.9</v>
      </c>
      <c r="R879" s="3">
        <v>200.0</v>
      </c>
      <c r="S879" s="3">
        <v>36.69</v>
      </c>
      <c r="T879" s="3">
        <v>5.37</v>
      </c>
      <c r="U879" s="3">
        <v>31.49</v>
      </c>
      <c r="V879" s="3">
        <v>9.0</v>
      </c>
      <c r="W879" s="3">
        <v>22.46</v>
      </c>
      <c r="X879" s="3">
        <v>22.66</v>
      </c>
      <c r="Y879" s="3">
        <v>154.67</v>
      </c>
      <c r="Z879" s="3">
        <v>127.53</v>
      </c>
      <c r="AA879" s="3">
        <v>14.06</v>
      </c>
      <c r="AB879" s="3">
        <v>37.55</v>
      </c>
      <c r="AC879" s="3">
        <v>100.0</v>
      </c>
      <c r="AD879" s="3">
        <v>35.0</v>
      </c>
      <c r="AE879" s="3">
        <v>89.3</v>
      </c>
      <c r="AF879" s="3">
        <v>9.0</v>
      </c>
      <c r="AG879" s="3">
        <v>53.54</v>
      </c>
      <c r="AH879" s="3">
        <v>145.0</v>
      </c>
      <c r="AI879" s="3">
        <v>28.92</v>
      </c>
      <c r="AJ879" s="3">
        <v>9.9</v>
      </c>
      <c r="AK879" s="3">
        <v>37.6</v>
      </c>
      <c r="AL879" s="3">
        <v>80.0</v>
      </c>
      <c r="AM879" s="3">
        <v>72.42</v>
      </c>
      <c r="AN879" s="3">
        <v>38.0</v>
      </c>
      <c r="AO879" s="3">
        <v>36.12</v>
      </c>
      <c r="AP879" s="3">
        <v>17.0</v>
      </c>
      <c r="AQ879" s="3">
        <v>21.9</v>
      </c>
      <c r="AR879" s="3">
        <v>220.56</v>
      </c>
      <c r="AS879" s="3">
        <v>68.0</v>
      </c>
      <c r="AT879" s="3">
        <v>35.0</v>
      </c>
      <c r="AU879" s="3">
        <v>20.0</v>
      </c>
      <c r="AV879" s="3">
        <v>62.17</v>
      </c>
      <c r="AW879" s="3">
        <v>96.05</v>
      </c>
      <c r="AX879" s="3">
        <v>40.38</v>
      </c>
      <c r="AY879" s="3">
        <v>34.8</v>
      </c>
      <c r="AZ879" s="3">
        <v>303.34</v>
      </c>
      <c r="BA879" s="3">
        <v>139.0</v>
      </c>
      <c r="BB879" s="3">
        <v>78.0</v>
      </c>
      <c r="BC879" s="3">
        <v>12.0</v>
      </c>
      <c r="BD879" s="3">
        <v>76.6</v>
      </c>
      <c r="BE879" s="3">
        <v>250.0</v>
      </c>
      <c r="BF879" s="3">
        <v>38.0</v>
      </c>
      <c r="BG879" s="3">
        <v>40.0</v>
      </c>
      <c r="BH879" s="3">
        <v>90.88</v>
      </c>
      <c r="BI879" s="3">
        <v>66.0</v>
      </c>
      <c r="BJ879" s="3">
        <v>68.23</v>
      </c>
      <c r="BK879" s="3">
        <v>100.0</v>
      </c>
      <c r="BL879" s="3">
        <v>47.0</v>
      </c>
      <c r="BM879" s="3">
        <v>21.17</v>
      </c>
      <c r="BN879" s="3">
        <v>26.0</v>
      </c>
      <c r="BO879" s="3">
        <v>77.04</v>
      </c>
      <c r="BP879" s="3">
        <v>59.9</v>
      </c>
      <c r="BQ879" s="3">
        <v>33.35</v>
      </c>
      <c r="BR879" s="3">
        <v>60.0</v>
      </c>
      <c r="BS879" s="3">
        <v>22.0</v>
      </c>
      <c r="BT879" s="3">
        <v>32.0</v>
      </c>
      <c r="BU879" s="3">
        <v>24.0</v>
      </c>
      <c r="BV879" s="3">
        <v>18.0</v>
      </c>
      <c r="BW879" s="3">
        <v>19.5</v>
      </c>
      <c r="BX879" s="3">
        <v>32.0</v>
      </c>
      <c r="BY879" s="3">
        <v>100.0</v>
      </c>
      <c r="BZ879" s="3">
        <v>22.0</v>
      </c>
      <c r="CA879" s="3">
        <v>18.0</v>
      </c>
      <c r="CB879" s="3">
        <v>28.5</v>
      </c>
      <c r="CC879" s="3">
        <v>5.96</v>
      </c>
      <c r="CD879" s="3">
        <v>5.81</v>
      </c>
      <c r="CE879" s="3">
        <v>30.99</v>
      </c>
    </row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>
      <c r="A886" s="2" t="s">
        <v>2</v>
      </c>
      <c r="B886" s="2">
        <f>SUM(B879:EO885)</f>
        <v>4601.37</v>
      </c>
    </row>
    <row r="887" ht="15.75" customHeight="1">
      <c r="A887" s="1">
        <v>44317.0</v>
      </c>
    </row>
    <row r="888" ht="15.75" customHeight="1">
      <c r="A888" s="2" t="s">
        <v>0</v>
      </c>
      <c r="B888" s="3">
        <v>92.41</v>
      </c>
      <c r="C888" s="3">
        <v>13.37</v>
      </c>
      <c r="D888" s="3">
        <v>21.45</v>
      </c>
      <c r="E888" s="3">
        <v>16.59</v>
      </c>
      <c r="F888" s="3">
        <v>79.54</v>
      </c>
      <c r="G888" s="3">
        <v>65.93</v>
      </c>
      <c r="H888" s="3">
        <v>36.0</v>
      </c>
      <c r="I888" s="3">
        <v>12.0</v>
      </c>
      <c r="J888" s="3">
        <v>15.0</v>
      </c>
      <c r="K888" s="3">
        <v>83.85</v>
      </c>
      <c r="L888" s="3">
        <v>24.12</v>
      </c>
      <c r="M888" s="3">
        <v>48.5</v>
      </c>
      <c r="N888" s="3">
        <v>76.0</v>
      </c>
      <c r="O888" s="3">
        <v>15.87</v>
      </c>
      <c r="P888" s="3">
        <v>36.69</v>
      </c>
      <c r="Q888" s="3">
        <v>5.37</v>
      </c>
      <c r="R888" s="3">
        <v>31.49</v>
      </c>
      <c r="S888" s="3">
        <v>22.46</v>
      </c>
      <c r="T888" s="3">
        <v>22.66</v>
      </c>
      <c r="U888" s="3">
        <v>154.66</v>
      </c>
      <c r="V888" s="3">
        <v>14.06</v>
      </c>
      <c r="W888" s="3">
        <v>37.55</v>
      </c>
      <c r="X888" s="3">
        <v>53.54</v>
      </c>
      <c r="Y888" s="3">
        <v>303.34</v>
      </c>
      <c r="Z888" s="3">
        <v>63.98</v>
      </c>
      <c r="AA888" s="3">
        <v>128.4</v>
      </c>
      <c r="AB888" s="3">
        <v>160.0</v>
      </c>
      <c r="AC888" s="3">
        <v>9.9</v>
      </c>
      <c r="AD888" s="3">
        <v>7.89</v>
      </c>
      <c r="AE888" s="3">
        <v>161.7</v>
      </c>
      <c r="AF888" s="3">
        <v>53.0</v>
      </c>
      <c r="AG888" s="3">
        <v>7.72</v>
      </c>
      <c r="AH888" s="3">
        <v>100.0</v>
      </c>
      <c r="AI888" s="3">
        <v>16.0</v>
      </c>
      <c r="AJ888" s="3">
        <v>6.43</v>
      </c>
      <c r="AK888" s="3">
        <v>9.69</v>
      </c>
      <c r="AL888" s="3">
        <v>22.0</v>
      </c>
      <c r="AM888" s="3">
        <v>100.0</v>
      </c>
      <c r="AN888" s="3">
        <v>15.0</v>
      </c>
      <c r="AO888" s="3">
        <v>73.46</v>
      </c>
      <c r="AP888" s="3">
        <v>60.0</v>
      </c>
      <c r="AQ888" s="3">
        <v>60.0</v>
      </c>
      <c r="AR888" s="3">
        <v>22.0</v>
      </c>
      <c r="AS888" s="3">
        <v>22.0</v>
      </c>
      <c r="AT888" s="3">
        <v>30.0</v>
      </c>
      <c r="AU888" s="3">
        <v>14.0</v>
      </c>
      <c r="AV888" s="3">
        <v>15.0</v>
      </c>
      <c r="AW888" s="3">
        <v>10.0</v>
      </c>
      <c r="AX888" s="3">
        <v>26.0</v>
      </c>
      <c r="AY888" s="3">
        <v>23.0</v>
      </c>
      <c r="AZ888" s="3">
        <v>42.0</v>
      </c>
      <c r="BA888" s="3">
        <v>21.9</v>
      </c>
      <c r="BB888" s="3">
        <v>11.0</v>
      </c>
      <c r="BC888" s="3">
        <v>14.55</v>
      </c>
      <c r="BD888" s="3">
        <v>84.94</v>
      </c>
      <c r="BE888" s="3">
        <v>65.0</v>
      </c>
      <c r="BF888" s="3">
        <v>54.54</v>
      </c>
      <c r="BG888" s="3">
        <v>22.95</v>
      </c>
      <c r="BH888" s="3">
        <v>36.69</v>
      </c>
      <c r="BI888" s="3">
        <v>84.0</v>
      </c>
      <c r="BJ888" s="3">
        <v>57.4</v>
      </c>
      <c r="BK888" s="3">
        <v>65.52</v>
      </c>
      <c r="BL888" s="3">
        <v>31.0</v>
      </c>
      <c r="BM888" s="3">
        <v>19.67</v>
      </c>
      <c r="BN888" s="3">
        <v>70.0</v>
      </c>
      <c r="BO888" s="3">
        <v>39.5</v>
      </c>
      <c r="BP888" s="3">
        <v>80.0</v>
      </c>
      <c r="BQ888" s="3">
        <v>17.43</v>
      </c>
      <c r="BR888" s="3">
        <v>22.0</v>
      </c>
      <c r="BS888" s="3">
        <v>52.75</v>
      </c>
      <c r="BT888" s="3">
        <v>48.0</v>
      </c>
      <c r="BU888" s="3">
        <v>74.8</v>
      </c>
      <c r="BV888" s="3">
        <v>15.0</v>
      </c>
      <c r="BW888" s="3">
        <v>53.0</v>
      </c>
      <c r="BX888" s="3">
        <v>33.0</v>
      </c>
      <c r="BY888" s="3">
        <v>41.0</v>
      </c>
      <c r="BZ888" s="3">
        <v>41.0</v>
      </c>
      <c r="CA888" s="3">
        <v>27.0</v>
      </c>
      <c r="CB888" s="3">
        <v>26.0</v>
      </c>
      <c r="CC888" s="3">
        <v>36.9</v>
      </c>
      <c r="CD888" s="3">
        <v>35.98</v>
      </c>
      <c r="CE888" s="3">
        <v>93.0</v>
      </c>
      <c r="CF888" s="3">
        <v>67.42</v>
      </c>
      <c r="CG888" s="3">
        <v>19.99</v>
      </c>
      <c r="CH888" s="3">
        <v>73.61</v>
      </c>
      <c r="CI888" s="3">
        <v>44.91</v>
      </c>
      <c r="CJ888" s="3">
        <v>48.0</v>
      </c>
      <c r="CK888" s="3">
        <v>71.5</v>
      </c>
      <c r="CL888" s="3">
        <v>8.0</v>
      </c>
      <c r="CM888" s="3">
        <v>104.0</v>
      </c>
      <c r="CN888" s="3">
        <v>30.0</v>
      </c>
      <c r="CO888" s="3">
        <v>55.0</v>
      </c>
      <c r="CP888" s="3">
        <v>57.0</v>
      </c>
      <c r="CQ888" s="3">
        <v>30.0</v>
      </c>
      <c r="CR888" s="3">
        <v>29.0</v>
      </c>
      <c r="CS888" s="32"/>
      <c r="CT888" s="32"/>
      <c r="CU888" s="32"/>
      <c r="CV888" s="32"/>
      <c r="CW888" s="32"/>
      <c r="CX888" s="32"/>
      <c r="CY888" s="32"/>
      <c r="CZ888" s="32"/>
      <c r="DA888" s="32"/>
      <c r="DB888" s="32"/>
      <c r="DC888" s="32"/>
      <c r="DD888" s="32"/>
      <c r="DE888" s="32"/>
      <c r="DF888" s="32"/>
      <c r="DG888" s="32"/>
      <c r="DH888" s="32"/>
      <c r="DI888" s="32"/>
      <c r="DJ888" s="32"/>
      <c r="DK888" s="32"/>
      <c r="DL888" s="32"/>
      <c r="DM888" s="32"/>
      <c r="DN888" s="32"/>
      <c r="DO888" s="32"/>
      <c r="DP888" s="32"/>
      <c r="DQ888" s="32"/>
      <c r="DR888" s="32"/>
      <c r="DS888" s="32"/>
      <c r="DT888" s="32"/>
    </row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>
      <c r="A895" s="2" t="s">
        <v>2</v>
      </c>
      <c r="B895" s="2">
        <f>SUM(B888:GP894)</f>
        <v>4555.57</v>
      </c>
    </row>
    <row r="896" ht="15.75" customHeight="1">
      <c r="A896" s="1">
        <v>44348.0</v>
      </c>
    </row>
    <row r="897" ht="15.75" customHeight="1">
      <c r="A897" s="2" t="s">
        <v>0</v>
      </c>
      <c r="B897" s="3">
        <v>92.41</v>
      </c>
      <c r="C897" s="3">
        <v>13.37</v>
      </c>
      <c r="D897" s="3">
        <v>21.45</v>
      </c>
      <c r="E897" s="3">
        <v>16.59</v>
      </c>
      <c r="F897" s="3">
        <v>79.54</v>
      </c>
      <c r="G897" s="3">
        <v>65.93</v>
      </c>
      <c r="H897" s="3">
        <v>36.0</v>
      </c>
      <c r="I897" s="3">
        <v>15.0</v>
      </c>
      <c r="J897" s="3">
        <v>83.85</v>
      </c>
      <c r="K897" s="3">
        <v>36.69</v>
      </c>
      <c r="L897" s="3">
        <v>5.37</v>
      </c>
      <c r="M897" s="3">
        <v>31.49</v>
      </c>
      <c r="N897" s="3">
        <v>22.46</v>
      </c>
      <c r="O897" s="3">
        <v>22.66</v>
      </c>
      <c r="P897" s="3">
        <v>154.67</v>
      </c>
      <c r="Q897" s="3">
        <v>53.54</v>
      </c>
      <c r="R897" s="3">
        <v>303.34</v>
      </c>
      <c r="S897" s="3">
        <v>5.0</v>
      </c>
      <c r="T897" s="3">
        <v>84.94</v>
      </c>
      <c r="U897" s="3">
        <v>35.98</v>
      </c>
      <c r="V897" s="3">
        <v>24.5</v>
      </c>
      <c r="W897" s="3">
        <v>41.0</v>
      </c>
      <c r="X897" s="3">
        <v>5.0</v>
      </c>
      <c r="Y897" s="3">
        <v>13.81</v>
      </c>
      <c r="Z897" s="3"/>
      <c r="AA897" s="3">
        <v>165.0</v>
      </c>
      <c r="AB897" s="3">
        <v>70.0</v>
      </c>
      <c r="AC897" s="3">
        <v>254.0</v>
      </c>
      <c r="AD897" s="3">
        <v>100.0</v>
      </c>
      <c r="AE897" s="3">
        <v>43.7</v>
      </c>
      <c r="AF897" s="3">
        <v>60.8</v>
      </c>
      <c r="AG897" s="3">
        <v>9.9</v>
      </c>
      <c r="AH897" s="3">
        <v>130.29</v>
      </c>
      <c r="AI897" s="3">
        <v>32.0</v>
      </c>
      <c r="AJ897" s="3">
        <v>33.0</v>
      </c>
      <c r="AK897" s="3">
        <v>23.0</v>
      </c>
      <c r="AL897" s="3">
        <v>23.0</v>
      </c>
      <c r="AM897" s="3">
        <v>21.5</v>
      </c>
      <c r="AN897" s="3">
        <v>25.9</v>
      </c>
      <c r="AO897" s="3">
        <v>77.66</v>
      </c>
      <c r="AP897" s="3">
        <v>81.9</v>
      </c>
      <c r="AQ897" s="3">
        <v>13.0</v>
      </c>
      <c r="AR897" s="3">
        <v>21.9</v>
      </c>
      <c r="AS897" s="3">
        <v>38.18</v>
      </c>
      <c r="AT897" s="3">
        <v>46.46</v>
      </c>
      <c r="AU897" s="3">
        <v>25.74</v>
      </c>
      <c r="AV897" s="3">
        <v>47.5</v>
      </c>
      <c r="AW897" s="3">
        <v>109.5</v>
      </c>
      <c r="AX897" s="3">
        <v>26.33</v>
      </c>
      <c r="AY897" s="3">
        <v>5.3</v>
      </c>
      <c r="AZ897" s="3">
        <v>67.9</v>
      </c>
      <c r="BA897" s="3">
        <v>69.53</v>
      </c>
      <c r="BB897" s="3">
        <v>4.0</v>
      </c>
      <c r="BC897" s="3">
        <v>69.0</v>
      </c>
      <c r="BD897" s="3">
        <v>43.8</v>
      </c>
      <c r="BE897" s="3">
        <v>64.0</v>
      </c>
      <c r="BF897" s="3">
        <v>22.0</v>
      </c>
      <c r="BG897" s="3">
        <v>120.0</v>
      </c>
      <c r="BH897" s="3">
        <v>22.0</v>
      </c>
      <c r="BI897" s="3">
        <v>37.0</v>
      </c>
      <c r="BJ897" s="3">
        <v>15.0</v>
      </c>
      <c r="BK897" s="3">
        <v>4.0</v>
      </c>
      <c r="BL897" s="3">
        <v>9.0</v>
      </c>
      <c r="BM897" s="3">
        <v>13.0</v>
      </c>
      <c r="BN897" s="3">
        <v>30.4</v>
      </c>
      <c r="BO897" s="3">
        <v>3.5</v>
      </c>
      <c r="BP897" s="3">
        <v>48.0</v>
      </c>
      <c r="BQ897" s="3">
        <v>46.92</v>
      </c>
      <c r="BR897" s="3">
        <v>29.73</v>
      </c>
      <c r="BS897" s="3">
        <v>34.0</v>
      </c>
      <c r="BT897" s="3">
        <v>134.97</v>
      </c>
      <c r="BU897" s="3">
        <v>82.82</v>
      </c>
      <c r="BV897" s="3">
        <v>46.34</v>
      </c>
      <c r="BW897" s="3">
        <v>28.0</v>
      </c>
      <c r="BX897" s="3">
        <v>23.0</v>
      </c>
      <c r="BY897" s="3">
        <v>9.0</v>
      </c>
      <c r="BZ897" s="3">
        <v>44.0</v>
      </c>
      <c r="CA897" s="3">
        <v>45.0</v>
      </c>
      <c r="CB897" s="3">
        <v>97.0</v>
      </c>
      <c r="CC897" s="3">
        <v>30.0</v>
      </c>
      <c r="CD897" s="3">
        <v>53.0</v>
      </c>
      <c r="CE897" s="3">
        <v>23.0</v>
      </c>
      <c r="CF897" s="3">
        <v>28.0</v>
      </c>
      <c r="CG897" s="3">
        <v>40.0</v>
      </c>
      <c r="CH897" s="3">
        <v>3.5</v>
      </c>
      <c r="CI897" s="3">
        <v>26.0</v>
      </c>
      <c r="CJ897" s="3">
        <v>16.0</v>
      </c>
      <c r="CK897" s="3">
        <v>20.0</v>
      </c>
      <c r="CL897" s="3">
        <v>9.5</v>
      </c>
      <c r="CM897" s="3">
        <v>39.38</v>
      </c>
      <c r="CN897" s="3">
        <v>40.0</v>
      </c>
      <c r="CO897" s="3">
        <v>33.0</v>
      </c>
      <c r="CP897" s="3">
        <v>26.0</v>
      </c>
      <c r="CQ897" s="3">
        <v>23.0</v>
      </c>
      <c r="CR897" s="3">
        <v>49.4</v>
      </c>
      <c r="CS897" s="3">
        <v>69.24</v>
      </c>
      <c r="CT897" s="3">
        <v>35.6</v>
      </c>
      <c r="CU897" s="3">
        <v>47.7</v>
      </c>
      <c r="CV897" s="3">
        <v>27.61</v>
      </c>
      <c r="CW897" s="3">
        <v>20.0</v>
      </c>
      <c r="CX897" s="3">
        <v>51.98</v>
      </c>
      <c r="CY897" s="3">
        <v>77.82</v>
      </c>
      <c r="CZ897" s="3">
        <v>195.0</v>
      </c>
    </row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>
      <c r="A904" s="2" t="s">
        <v>2</v>
      </c>
      <c r="B904" s="2">
        <f>SUM(B897:ER903)</f>
        <v>4997.79</v>
      </c>
    </row>
    <row r="905" ht="15.75" customHeight="1">
      <c r="A905" s="1">
        <v>44378.0</v>
      </c>
      <c r="V905" s="2" t="s">
        <v>104</v>
      </c>
      <c r="BM905" s="2">
        <v>3584.52</v>
      </c>
    </row>
    <row r="906" ht="15.75" customHeight="1">
      <c r="A906" s="2" t="s">
        <v>0</v>
      </c>
      <c r="B906" s="3">
        <v>92.41</v>
      </c>
      <c r="C906" s="3">
        <v>13.37</v>
      </c>
      <c r="D906" s="3">
        <v>21.45</v>
      </c>
      <c r="E906" s="3">
        <v>16.59</v>
      </c>
      <c r="F906" s="3">
        <v>79.54</v>
      </c>
      <c r="G906" s="3">
        <v>65.93</v>
      </c>
      <c r="H906" s="3">
        <v>36.0</v>
      </c>
      <c r="I906" s="3">
        <v>36.69</v>
      </c>
      <c r="J906" s="3">
        <v>5.37</v>
      </c>
      <c r="K906" s="3">
        <v>31.49</v>
      </c>
      <c r="L906" s="3">
        <v>22.46</v>
      </c>
      <c r="M906" s="3">
        <v>22.66</v>
      </c>
      <c r="N906" s="3">
        <v>84.94</v>
      </c>
      <c r="O906" s="3">
        <v>35.98</v>
      </c>
      <c r="P906" s="3">
        <v>24.5</v>
      </c>
      <c r="Q906" s="3">
        <v>165.0</v>
      </c>
      <c r="R906" s="3">
        <v>43.7</v>
      </c>
      <c r="S906" s="3">
        <v>26.33</v>
      </c>
      <c r="T906" s="3">
        <v>175.0</v>
      </c>
      <c r="U906" s="3">
        <v>105.0</v>
      </c>
      <c r="V906" s="3">
        <v>165.0</v>
      </c>
      <c r="W906" s="3">
        <v>93.0</v>
      </c>
      <c r="X906" s="3">
        <v>22.93</v>
      </c>
      <c r="Y906" s="3">
        <v>80.82</v>
      </c>
      <c r="Z906" s="3">
        <v>53.3</v>
      </c>
      <c r="AA906" s="3">
        <v>47.85</v>
      </c>
      <c r="AB906" s="3">
        <v>46.0</v>
      </c>
      <c r="AC906" s="3">
        <v>73.5</v>
      </c>
      <c r="AD906" s="3">
        <v>105.93</v>
      </c>
      <c r="AE906" s="3">
        <v>33.0</v>
      </c>
      <c r="AF906" s="3">
        <v>57.0</v>
      </c>
      <c r="AG906" s="3">
        <v>47.5</v>
      </c>
      <c r="AH906" s="3">
        <v>9.9</v>
      </c>
      <c r="AI906" s="3">
        <v>5.47</v>
      </c>
      <c r="AJ906" s="3">
        <v>38.36</v>
      </c>
      <c r="AK906" s="3">
        <v>53.3</v>
      </c>
      <c r="AL906" s="3">
        <v>45.0</v>
      </c>
      <c r="AM906" s="3">
        <v>7.0</v>
      </c>
      <c r="AN906" s="3">
        <v>70.0</v>
      </c>
      <c r="AO906" s="3">
        <v>40.7</v>
      </c>
      <c r="AP906" s="3">
        <v>135.0</v>
      </c>
      <c r="AQ906" s="3">
        <v>21.9</v>
      </c>
      <c r="AR906" s="3">
        <v>31.85</v>
      </c>
      <c r="AS906" s="3">
        <v>77.0</v>
      </c>
      <c r="AT906" s="3">
        <v>110.0</v>
      </c>
      <c r="AU906" s="3">
        <v>54.7</v>
      </c>
      <c r="AV906" s="3">
        <v>26.0</v>
      </c>
      <c r="AW906" s="3">
        <v>5.0</v>
      </c>
      <c r="AX906" s="3">
        <v>48.5</v>
      </c>
      <c r="AY906" s="3">
        <v>70.0</v>
      </c>
      <c r="AZ906" s="3">
        <v>9.5</v>
      </c>
      <c r="BA906" s="3">
        <v>11.0</v>
      </c>
      <c r="BB906" s="3">
        <v>46.0</v>
      </c>
      <c r="BC906" s="3">
        <v>11.0</v>
      </c>
      <c r="BD906" s="3">
        <v>27.0</v>
      </c>
      <c r="BE906" s="3">
        <v>30.74</v>
      </c>
      <c r="BF906" s="3">
        <v>17.21</v>
      </c>
      <c r="BG906" s="3">
        <v>37.95</v>
      </c>
      <c r="BH906" s="3">
        <v>192.48</v>
      </c>
      <c r="BI906" s="3">
        <v>103.0</v>
      </c>
      <c r="BJ906" s="3">
        <v>77.83</v>
      </c>
      <c r="BK906" s="3">
        <v>125.0</v>
      </c>
      <c r="BL906" s="3">
        <v>84.89</v>
      </c>
      <c r="BM906" s="3">
        <v>31.0</v>
      </c>
    </row>
    <row r="907" ht="15.75" customHeight="1">
      <c r="A907" s="2" t="s">
        <v>105</v>
      </c>
      <c r="B907" s="2">
        <v>1313.15</v>
      </c>
    </row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>
      <c r="A914" s="2" t="s">
        <v>2</v>
      </c>
      <c r="B914" s="2">
        <f>SUM(B906:BO913)</f>
        <v>4897.67</v>
      </c>
    </row>
    <row r="915" ht="15.75" customHeight="1">
      <c r="A915" s="1">
        <v>44409.0</v>
      </c>
      <c r="BP915" s="2" t="s">
        <v>106</v>
      </c>
      <c r="BQ915" s="2">
        <v>3879.44</v>
      </c>
    </row>
    <row r="916" ht="15.75" customHeight="1">
      <c r="A916" s="2" t="s">
        <v>0</v>
      </c>
      <c r="B916" s="3">
        <v>13.37</v>
      </c>
      <c r="C916" s="3">
        <v>16.59</v>
      </c>
      <c r="D916" s="3">
        <v>65.93</v>
      </c>
      <c r="E916" s="3">
        <v>36.0</v>
      </c>
      <c r="F916" s="3">
        <v>79.54</v>
      </c>
      <c r="G916" s="3">
        <v>21.45</v>
      </c>
      <c r="H916" s="3">
        <v>36.69</v>
      </c>
      <c r="I916" s="3">
        <v>5.37</v>
      </c>
      <c r="J916" s="3">
        <v>31.49</v>
      </c>
      <c r="K916" s="3">
        <v>22.66</v>
      </c>
      <c r="L916" s="3">
        <v>35.98</v>
      </c>
      <c r="M916" s="3">
        <v>26.33</v>
      </c>
      <c r="N916" s="3">
        <v>175.0</v>
      </c>
      <c r="O916" s="3">
        <v>61.75</v>
      </c>
      <c r="P916" s="3">
        <v>29.89</v>
      </c>
      <c r="Q916" s="3">
        <v>52.0</v>
      </c>
      <c r="R916" s="3">
        <v>10.0</v>
      </c>
      <c r="S916" s="3">
        <v>100.0</v>
      </c>
      <c r="T916" s="3">
        <v>51.7</v>
      </c>
      <c r="U916" s="3">
        <v>9.9</v>
      </c>
      <c r="V916" s="3">
        <v>91.88</v>
      </c>
      <c r="W916" s="3">
        <v>19.75</v>
      </c>
      <c r="X916" s="3">
        <v>83.9</v>
      </c>
      <c r="Y916" s="3">
        <v>64.14</v>
      </c>
      <c r="Z916" s="3">
        <v>150.0</v>
      </c>
      <c r="AA916" s="3">
        <v>29.0</v>
      </c>
      <c r="AB916" s="3">
        <v>83.0</v>
      </c>
      <c r="AC916" s="3">
        <v>20.47</v>
      </c>
      <c r="AD916" s="3">
        <v>24.9</v>
      </c>
      <c r="AE916" s="3">
        <v>10.75</v>
      </c>
      <c r="AF916" s="3">
        <v>38.0</v>
      </c>
      <c r="AG916" s="3">
        <v>234.3</v>
      </c>
      <c r="AH916" s="3">
        <v>50.0</v>
      </c>
      <c r="AI916" s="3">
        <v>53.3</v>
      </c>
      <c r="AJ916" s="3">
        <v>110.0</v>
      </c>
      <c r="AK916" s="3">
        <v>53.5</v>
      </c>
      <c r="AL916" s="3">
        <v>99.9</v>
      </c>
      <c r="AM916" s="3">
        <v>74.76</v>
      </c>
      <c r="AN916" s="3">
        <v>19.06</v>
      </c>
      <c r="AO916" s="3">
        <v>26.0</v>
      </c>
      <c r="AP916" s="3">
        <v>20.0</v>
      </c>
      <c r="AQ916" s="3">
        <v>50.0</v>
      </c>
      <c r="AR916" s="3">
        <v>36.0</v>
      </c>
      <c r="AS916" s="3">
        <v>50.0</v>
      </c>
      <c r="AT916" s="3">
        <v>33.5</v>
      </c>
      <c r="AU916" s="3">
        <v>56.8</v>
      </c>
      <c r="AV916" s="3">
        <v>23.0</v>
      </c>
      <c r="AW916" s="3">
        <v>30.0</v>
      </c>
      <c r="AX916" s="3">
        <v>80.26</v>
      </c>
      <c r="AY916" s="3">
        <v>24.26</v>
      </c>
      <c r="AZ916" s="3">
        <v>60.11</v>
      </c>
      <c r="BA916" s="3">
        <v>37.43</v>
      </c>
      <c r="BB916" s="3">
        <v>161.7</v>
      </c>
      <c r="BC916" s="3">
        <v>57.49</v>
      </c>
      <c r="BD916" s="3">
        <v>106.1</v>
      </c>
      <c r="BE916" s="3">
        <v>125.0</v>
      </c>
      <c r="BF916" s="3">
        <v>10.0</v>
      </c>
      <c r="BG916" s="3">
        <v>30.0</v>
      </c>
      <c r="BH916" s="3">
        <v>198.77</v>
      </c>
      <c r="BI916" s="3">
        <v>34.9</v>
      </c>
      <c r="BJ916" s="3">
        <v>15.0</v>
      </c>
      <c r="BK916" s="3">
        <v>16.25</v>
      </c>
      <c r="BL916" s="3">
        <v>4.87</v>
      </c>
      <c r="BM916" s="3">
        <v>72.3</v>
      </c>
      <c r="BN916" s="3">
        <v>119.45</v>
      </c>
      <c r="BO916" s="3">
        <v>83.0</v>
      </c>
      <c r="BP916" s="3">
        <v>125.0</v>
      </c>
      <c r="BQ916" s="3">
        <v>256.4</v>
      </c>
    </row>
    <row r="917" ht="15.75" customHeight="1">
      <c r="A917" s="2" t="s">
        <v>105</v>
      </c>
      <c r="B917" s="3">
        <v>1413.83</v>
      </c>
      <c r="C917" s="3">
        <v>39.92</v>
      </c>
    </row>
    <row r="918" ht="15.75" customHeight="1">
      <c r="A918" s="2" t="s">
        <v>107</v>
      </c>
      <c r="B918" s="3">
        <v>92.61</v>
      </c>
    </row>
    <row r="919" ht="15.75" customHeight="1">
      <c r="A919" s="2" t="s">
        <v>108</v>
      </c>
      <c r="B919" s="3">
        <v>280.0</v>
      </c>
    </row>
    <row r="920" ht="15.75" customHeight="1">
      <c r="A920" s="2" t="s">
        <v>109</v>
      </c>
      <c r="B920" s="3">
        <v>154.79</v>
      </c>
    </row>
    <row r="921" ht="15.75" customHeight="1"/>
    <row r="922" ht="15.75" customHeight="1"/>
    <row r="923" ht="15.75" customHeight="1">
      <c r="A923" s="2" t="s">
        <v>2</v>
      </c>
      <c r="B923" s="2">
        <f>SUM(B916:CV922)</f>
        <v>6116.99</v>
      </c>
    </row>
    <row r="924" ht="15.75" customHeight="1">
      <c r="A924" s="1">
        <v>44440.0</v>
      </c>
    </row>
    <row r="925" ht="15.75" customHeight="1">
      <c r="A925" s="2" t="s">
        <v>0</v>
      </c>
      <c r="B925" s="3">
        <v>16.59</v>
      </c>
      <c r="C925" s="3">
        <v>65.93</v>
      </c>
      <c r="D925" s="3">
        <v>36.0</v>
      </c>
      <c r="E925" s="3">
        <v>13.37</v>
      </c>
      <c r="F925" s="3">
        <v>36.69</v>
      </c>
      <c r="G925" s="3">
        <v>5.37</v>
      </c>
      <c r="H925" s="3">
        <v>31.49</v>
      </c>
      <c r="I925" s="3">
        <v>22.66</v>
      </c>
      <c r="J925" s="3">
        <v>35.98</v>
      </c>
      <c r="K925" s="3">
        <v>26.33</v>
      </c>
      <c r="L925" s="3">
        <v>53.3</v>
      </c>
      <c r="M925" s="3">
        <v>74.76</v>
      </c>
      <c r="N925" s="3">
        <v>93.0</v>
      </c>
      <c r="O925" s="3">
        <v>35.03</v>
      </c>
      <c r="P925" s="3">
        <v>51.0</v>
      </c>
      <c r="Q925" s="3">
        <v>100.0</v>
      </c>
      <c r="R925" s="3">
        <v>97.57</v>
      </c>
      <c r="S925" s="3">
        <v>100.0</v>
      </c>
      <c r="T925" s="3">
        <v>152.4</v>
      </c>
      <c r="U925" s="3">
        <v>254.57</v>
      </c>
      <c r="V925" s="3">
        <v>50.8</v>
      </c>
      <c r="W925" s="3">
        <v>154.76</v>
      </c>
      <c r="X925" s="3">
        <v>18.0</v>
      </c>
      <c r="Y925" s="3">
        <v>150.0</v>
      </c>
      <c r="Z925" s="3">
        <v>20.0</v>
      </c>
      <c r="AA925" s="3">
        <v>23.0</v>
      </c>
      <c r="AB925" s="3">
        <v>23.0</v>
      </c>
      <c r="AC925" s="3">
        <v>142.45</v>
      </c>
      <c r="AD925" s="3">
        <v>24.9</v>
      </c>
      <c r="AE925" s="3">
        <v>47.2</v>
      </c>
      <c r="AF925" s="3">
        <v>70.0</v>
      </c>
      <c r="AG925" s="3">
        <v>5.87</v>
      </c>
      <c r="AH925" s="3">
        <v>9.9</v>
      </c>
      <c r="AI925" s="3">
        <v>51.2</v>
      </c>
      <c r="AJ925" s="3">
        <v>177.43</v>
      </c>
      <c r="AK925" s="3">
        <v>66.94</v>
      </c>
      <c r="AL925" s="3">
        <v>5.0</v>
      </c>
      <c r="AM925" s="3">
        <v>77.3</v>
      </c>
      <c r="AN925" s="3">
        <v>25.0</v>
      </c>
      <c r="AO925" s="3">
        <v>84.0</v>
      </c>
      <c r="AP925" s="3">
        <v>30.0</v>
      </c>
      <c r="AQ925" s="3">
        <v>25.0</v>
      </c>
      <c r="AR925" s="3">
        <v>27.1</v>
      </c>
      <c r="AS925" s="2">
        <v>87.9</v>
      </c>
    </row>
    <row r="926" ht="15.75" customHeight="1">
      <c r="A926" s="2" t="s">
        <v>105</v>
      </c>
      <c r="B926" s="3">
        <v>1505.32</v>
      </c>
    </row>
    <row r="927" ht="15.75" customHeight="1">
      <c r="A927" s="2" t="s">
        <v>87</v>
      </c>
      <c r="B927" s="3">
        <v>179.9</v>
      </c>
    </row>
    <row r="928" ht="15.75" customHeight="1">
      <c r="A928" s="2" t="s">
        <v>110</v>
      </c>
      <c r="B928" s="3">
        <v>582.0</v>
      </c>
    </row>
    <row r="929" ht="15.75" customHeight="1"/>
    <row r="930" ht="15.75" customHeight="1"/>
    <row r="931" ht="15.75" customHeight="1"/>
    <row r="932" ht="15.75" customHeight="1">
      <c r="A932" s="2" t="s">
        <v>2</v>
      </c>
      <c r="B932" s="2">
        <f>SUM(B925:CY931)</f>
        <v>4966.01</v>
      </c>
    </row>
    <row r="933" ht="15.75" customHeight="1">
      <c r="A933" s="1">
        <v>44470.0</v>
      </c>
    </row>
    <row r="934" ht="15.75" customHeight="1">
      <c r="A934" s="2" t="s">
        <v>0</v>
      </c>
      <c r="B934" s="3">
        <v>65.93</v>
      </c>
      <c r="C934" s="3">
        <v>36.0</v>
      </c>
      <c r="D934" s="3">
        <v>16.59</v>
      </c>
      <c r="E934" s="3">
        <v>36.69</v>
      </c>
      <c r="F934" s="3">
        <v>5.37</v>
      </c>
      <c r="G934" s="3">
        <v>31.49</v>
      </c>
      <c r="H934" s="3">
        <v>22.66</v>
      </c>
      <c r="I934" s="3">
        <v>74.76</v>
      </c>
      <c r="J934" s="3">
        <v>254.57</v>
      </c>
      <c r="K934" s="3">
        <v>77.3</v>
      </c>
      <c r="L934" s="3">
        <v>25.0</v>
      </c>
      <c r="M934" s="3">
        <v>27.1</v>
      </c>
      <c r="N934" s="3">
        <v>93.0</v>
      </c>
      <c r="O934" s="3">
        <v>87.9</v>
      </c>
      <c r="P934" s="3">
        <v>141.04</v>
      </c>
      <c r="Q934" s="3">
        <v>205.19</v>
      </c>
      <c r="R934" s="3">
        <v>20.0</v>
      </c>
      <c r="S934" s="3">
        <v>32.0</v>
      </c>
      <c r="T934" s="3">
        <v>30.0</v>
      </c>
      <c r="U934" s="3">
        <v>93.0</v>
      </c>
      <c r="V934" s="3">
        <v>34.0</v>
      </c>
      <c r="W934" s="3">
        <v>32.9</v>
      </c>
      <c r="X934" s="3">
        <v>125.6</v>
      </c>
      <c r="Y934" s="3">
        <v>62.81</v>
      </c>
      <c r="Z934" s="3">
        <v>82.44</v>
      </c>
      <c r="AA934" s="3">
        <v>4.15</v>
      </c>
      <c r="AB934" s="3">
        <v>9.9</v>
      </c>
      <c r="AC934" s="3">
        <v>10.0</v>
      </c>
      <c r="AD934" s="3">
        <v>24.9</v>
      </c>
      <c r="AE934" s="3">
        <v>59.63</v>
      </c>
      <c r="AF934" s="3">
        <v>74.77</v>
      </c>
      <c r="AG934" s="3">
        <v>34.46</v>
      </c>
      <c r="AH934" s="3">
        <v>21.34</v>
      </c>
      <c r="AI934" s="3">
        <v>10.74</v>
      </c>
      <c r="AJ934" s="3">
        <v>20.0</v>
      </c>
      <c r="AK934" s="3">
        <v>35.9</v>
      </c>
      <c r="AL934" s="3">
        <v>44.0</v>
      </c>
      <c r="AM934" s="3">
        <v>33.0</v>
      </c>
      <c r="AN934" s="3">
        <v>150.0</v>
      </c>
      <c r="AO934" s="3">
        <v>173.66</v>
      </c>
      <c r="AP934" s="3">
        <v>65.0</v>
      </c>
      <c r="AQ934" s="3">
        <v>72.0</v>
      </c>
      <c r="AR934" s="3">
        <v>85.47</v>
      </c>
      <c r="AS934" s="3">
        <v>71.9</v>
      </c>
      <c r="AT934" s="3">
        <v>37.85</v>
      </c>
      <c r="AU934" s="3">
        <v>23.71</v>
      </c>
      <c r="AV934" s="3">
        <v>64.5</v>
      </c>
      <c r="AW934" s="3">
        <v>7.5</v>
      </c>
      <c r="AX934" s="3">
        <v>74.0</v>
      </c>
      <c r="AY934" s="3">
        <v>25.0</v>
      </c>
      <c r="AZ934" s="3">
        <v>24.0</v>
      </c>
      <c r="BA934" s="3">
        <v>23.0</v>
      </c>
      <c r="BB934" s="3">
        <v>53.0</v>
      </c>
      <c r="BC934" s="3">
        <v>18.0</v>
      </c>
      <c r="BD934" s="3">
        <v>62.0</v>
      </c>
      <c r="BE934" s="3">
        <v>29.0</v>
      </c>
      <c r="BF934" s="3">
        <v>35.03</v>
      </c>
      <c r="BG934" s="3">
        <v>47.05</v>
      </c>
      <c r="BH934" s="3">
        <v>38.0</v>
      </c>
      <c r="BI934" s="3">
        <v>56.75</v>
      </c>
      <c r="BJ934" s="3">
        <v>38.3</v>
      </c>
      <c r="BK934" s="3">
        <v>76.38</v>
      </c>
      <c r="BL934" s="3">
        <v>15.57</v>
      </c>
      <c r="BM934" s="3">
        <v>21.34</v>
      </c>
    </row>
    <row r="935" ht="15.75" customHeight="1">
      <c r="A935" s="2" t="s">
        <v>105</v>
      </c>
      <c r="B935" s="3">
        <v>1420.0</v>
      </c>
    </row>
    <row r="936" ht="15.75" customHeight="1">
      <c r="A936" s="2" t="s">
        <v>111</v>
      </c>
      <c r="B936" s="3">
        <v>500.0</v>
      </c>
    </row>
    <row r="937" ht="15.75" customHeight="1">
      <c r="A937" s="2" t="s">
        <v>110</v>
      </c>
      <c r="B937" s="3">
        <v>582.0</v>
      </c>
    </row>
    <row r="938" ht="15.75" customHeight="1"/>
    <row r="939" ht="15.75" customHeight="1"/>
    <row r="940" ht="15.75" customHeight="1">
      <c r="A940" s="2" t="s">
        <v>1</v>
      </c>
      <c r="B940" s="2">
        <f>SUM(B934:CP939)</f>
        <v>5986.14</v>
      </c>
    </row>
    <row r="941" ht="15.75" customHeight="1">
      <c r="A941" s="1">
        <v>44501.0</v>
      </c>
    </row>
    <row r="942" ht="15.75" customHeight="1">
      <c r="A942" s="2" t="s">
        <v>0</v>
      </c>
      <c r="B942" s="3">
        <v>65.93</v>
      </c>
      <c r="C942" s="3">
        <v>36.69</v>
      </c>
      <c r="D942" s="3">
        <v>5.37</v>
      </c>
      <c r="E942" s="3">
        <v>31.49</v>
      </c>
      <c r="F942" s="3">
        <v>22.66</v>
      </c>
      <c r="G942" s="3">
        <v>74.76</v>
      </c>
      <c r="H942" s="3">
        <v>254.57</v>
      </c>
      <c r="I942" s="3">
        <v>27.1</v>
      </c>
      <c r="J942" s="3">
        <v>93.0</v>
      </c>
      <c r="K942" s="3">
        <v>87.9</v>
      </c>
      <c r="L942" s="3">
        <v>205.19</v>
      </c>
      <c r="M942" s="3">
        <v>62.81</v>
      </c>
      <c r="N942" s="3">
        <v>56.75</v>
      </c>
      <c r="O942" s="3">
        <v>38.3</v>
      </c>
      <c r="P942" s="3">
        <v>76.38</v>
      </c>
      <c r="Q942" s="3">
        <v>15.57</v>
      </c>
      <c r="R942" s="3">
        <v>75.0</v>
      </c>
      <c r="S942" s="3">
        <v>32.9</v>
      </c>
      <c r="T942" s="3">
        <v>36.47</v>
      </c>
      <c r="U942" s="3">
        <v>67.17</v>
      </c>
      <c r="V942" s="3">
        <v>79.74</v>
      </c>
      <c r="W942" s="3">
        <v>25.95</v>
      </c>
      <c r="X942" s="3">
        <v>88.73</v>
      </c>
      <c r="Y942" s="3">
        <v>172.66</v>
      </c>
      <c r="Z942" s="3">
        <v>33.86</v>
      </c>
      <c r="AA942" s="3">
        <v>21.34</v>
      </c>
      <c r="AB942" s="3">
        <v>9.9</v>
      </c>
      <c r="AC942" s="3">
        <v>286.66</v>
      </c>
      <c r="AD942" s="3">
        <v>77.4</v>
      </c>
      <c r="AE942" s="3">
        <v>99.0</v>
      </c>
      <c r="AF942" s="3">
        <v>58.5</v>
      </c>
      <c r="AG942" s="3">
        <v>69.0</v>
      </c>
      <c r="AH942" s="3">
        <v>64.9</v>
      </c>
      <c r="AI942" s="3">
        <v>55.0</v>
      </c>
      <c r="AJ942" s="3">
        <v>24.9</v>
      </c>
      <c r="AK942" s="3">
        <v>97.55</v>
      </c>
      <c r="AL942" s="3">
        <v>35.03</v>
      </c>
      <c r="AM942" s="3">
        <v>19.9</v>
      </c>
      <c r="AN942" s="3">
        <v>128.5</v>
      </c>
      <c r="AO942" s="3">
        <v>146.41</v>
      </c>
      <c r="AP942" s="3">
        <v>17.91</v>
      </c>
      <c r="AQ942" s="3">
        <v>183.7</v>
      </c>
      <c r="AR942" s="3">
        <v>18.4</v>
      </c>
      <c r="AS942" s="3">
        <v>40.0</v>
      </c>
      <c r="AT942" s="3">
        <v>47.36</v>
      </c>
      <c r="AU942" s="3">
        <v>34.0</v>
      </c>
      <c r="AV942" s="3">
        <v>10.0</v>
      </c>
      <c r="AW942" s="3">
        <v>20.0</v>
      </c>
      <c r="AX942" s="3">
        <v>20.0</v>
      </c>
      <c r="AY942" s="3">
        <v>30.0</v>
      </c>
      <c r="AZ942" s="3">
        <v>10.0</v>
      </c>
      <c r="BA942" s="3">
        <v>12.0</v>
      </c>
      <c r="BB942" s="3">
        <v>61.0</v>
      </c>
      <c r="BC942" s="3">
        <v>18.95</v>
      </c>
      <c r="BD942" s="3">
        <v>35.9</v>
      </c>
      <c r="BE942" s="3">
        <v>100.0</v>
      </c>
      <c r="BF942" s="3">
        <v>50.0</v>
      </c>
      <c r="BG942" s="3">
        <v>118.9</v>
      </c>
      <c r="BH942" s="3">
        <v>76.0</v>
      </c>
      <c r="BI942" s="3">
        <v>126.44</v>
      </c>
    </row>
    <row r="943" ht="15.75" customHeight="1">
      <c r="A943" s="2" t="s">
        <v>105</v>
      </c>
      <c r="B943" s="3">
        <v>1430.0</v>
      </c>
    </row>
    <row r="944" ht="15.75" customHeight="1">
      <c r="A944" s="2" t="s">
        <v>112</v>
      </c>
      <c r="B944" s="3">
        <v>404.43</v>
      </c>
      <c r="C944" s="3">
        <v>138.1</v>
      </c>
      <c r="D944" s="3">
        <v>186.57</v>
      </c>
      <c r="E944" s="3">
        <v>6.5</v>
      </c>
      <c r="F944" s="3">
        <v>56.38</v>
      </c>
      <c r="G944" s="3"/>
      <c r="H944" s="3"/>
      <c r="I944" s="3"/>
    </row>
    <row r="945" ht="15.75" customHeight="1">
      <c r="A945" s="2" t="s">
        <v>111</v>
      </c>
      <c r="B945" s="3">
        <v>500.0</v>
      </c>
    </row>
    <row r="946" ht="15.75" customHeight="1">
      <c r="B946" s="3"/>
    </row>
    <row r="947" ht="15.75" customHeight="1">
      <c r="A947" s="2" t="s">
        <v>87</v>
      </c>
      <c r="B947" s="3">
        <v>179.9</v>
      </c>
    </row>
    <row r="948" ht="15.75" customHeight="1"/>
    <row r="949" ht="15.75" customHeight="1">
      <c r="A949" s="2" t="s">
        <v>1</v>
      </c>
      <c r="B949" s="2">
        <f>SUM(B942:DR948)</f>
        <v>6893.38</v>
      </c>
    </row>
    <row r="950" ht="15.75" customHeight="1">
      <c r="A950" s="1">
        <v>44531.0</v>
      </c>
    </row>
    <row r="951" ht="15.75" customHeight="1">
      <c r="A951" s="2" t="s">
        <v>0</v>
      </c>
      <c r="B951" s="3">
        <v>65.93</v>
      </c>
      <c r="C951" s="3">
        <v>5.37</v>
      </c>
      <c r="D951" s="3">
        <v>31.49</v>
      </c>
      <c r="E951" s="3">
        <v>22.66</v>
      </c>
      <c r="F951" s="3">
        <v>74.76</v>
      </c>
      <c r="G951" s="3">
        <v>254.57</v>
      </c>
      <c r="H951" s="3">
        <v>27.1</v>
      </c>
      <c r="I951" s="3">
        <v>87.9</v>
      </c>
      <c r="J951" s="3">
        <v>62.81</v>
      </c>
      <c r="K951" s="3">
        <v>56.75</v>
      </c>
      <c r="L951" s="3">
        <v>38.3</v>
      </c>
      <c r="M951" s="3">
        <v>76.38</v>
      </c>
      <c r="N951" s="3">
        <v>15.57</v>
      </c>
      <c r="O951" s="3">
        <v>67.17</v>
      </c>
      <c r="P951" s="3">
        <v>79.74</v>
      </c>
      <c r="Q951" s="3">
        <v>24.9</v>
      </c>
      <c r="R951" s="3">
        <v>88.73</v>
      </c>
      <c r="S951" s="3">
        <v>33.86</v>
      </c>
      <c r="T951" s="3">
        <v>21.34</v>
      </c>
      <c r="U951" s="3">
        <v>126.44</v>
      </c>
      <c r="V951" s="3">
        <v>285.0</v>
      </c>
      <c r="W951" s="3">
        <v>35.0</v>
      </c>
      <c r="X951" s="3">
        <v>172.13</v>
      </c>
      <c r="Y951" s="3">
        <v>140.72</v>
      </c>
      <c r="Z951" s="3">
        <v>32.9</v>
      </c>
      <c r="AA951" s="3">
        <v>165.0</v>
      </c>
      <c r="AB951" s="3">
        <v>52.5</v>
      </c>
      <c r="AC951" s="3">
        <v>39.9</v>
      </c>
      <c r="AD951" s="3">
        <v>65.49</v>
      </c>
      <c r="AE951" s="3">
        <v>92.39</v>
      </c>
      <c r="AF951" s="3">
        <v>46.95</v>
      </c>
      <c r="AG951" s="3">
        <v>4.0</v>
      </c>
      <c r="AH951" s="3">
        <v>175.0</v>
      </c>
      <c r="AI951" s="3">
        <v>50.0</v>
      </c>
      <c r="AJ951" s="3">
        <v>30.0</v>
      </c>
      <c r="AK951" s="3">
        <v>104.5</v>
      </c>
      <c r="AL951" s="3">
        <v>45.49</v>
      </c>
      <c r="AM951" s="3">
        <v>29.5</v>
      </c>
      <c r="AN951" s="3">
        <v>41.0</v>
      </c>
      <c r="AO951" s="3">
        <v>67.04</v>
      </c>
      <c r="AP951" s="3">
        <v>2.99</v>
      </c>
      <c r="AQ951" s="3">
        <v>90.0</v>
      </c>
      <c r="AR951" s="3">
        <v>44.5</v>
      </c>
      <c r="AS951" s="3">
        <v>20.9</v>
      </c>
      <c r="AT951" s="3">
        <v>69.0</v>
      </c>
      <c r="AU951" s="3">
        <v>39.48</v>
      </c>
      <c r="AV951" s="3">
        <v>154.0</v>
      </c>
      <c r="AW951" s="3">
        <v>16.0</v>
      </c>
      <c r="AX951" s="3">
        <v>16.0</v>
      </c>
      <c r="AY951" s="3">
        <v>16.0</v>
      </c>
      <c r="AZ951" s="3">
        <v>16.0</v>
      </c>
      <c r="BA951" s="3">
        <v>30.0</v>
      </c>
      <c r="BB951" s="3">
        <v>60.0</v>
      </c>
      <c r="BC951" s="3">
        <v>27.01</v>
      </c>
      <c r="BD951" s="3">
        <v>60.0</v>
      </c>
      <c r="BE951" s="3">
        <v>83.0</v>
      </c>
      <c r="BF951" s="3">
        <v>5.0</v>
      </c>
      <c r="BG951" s="3">
        <v>116.0</v>
      </c>
      <c r="BH951" s="3">
        <v>115.74</v>
      </c>
      <c r="BI951" s="3">
        <v>115.74</v>
      </c>
      <c r="BJ951" s="3">
        <v>128.12</v>
      </c>
      <c r="BK951" s="3">
        <v>19.79</v>
      </c>
      <c r="BL951" s="3">
        <v>76.84</v>
      </c>
      <c r="BM951" s="3">
        <v>14.0</v>
      </c>
      <c r="BN951" s="3">
        <v>28.45</v>
      </c>
      <c r="BO951" s="3">
        <v>60.8</v>
      </c>
      <c r="BP951" s="3">
        <v>28.0</v>
      </c>
      <c r="BQ951" s="3">
        <v>36.95</v>
      </c>
      <c r="BR951" s="3">
        <v>65.0</v>
      </c>
      <c r="BS951" s="3">
        <v>57.2</v>
      </c>
      <c r="BT951" s="3">
        <v>200.0</v>
      </c>
      <c r="BU951" s="3">
        <v>45.9</v>
      </c>
      <c r="BV951" s="3">
        <v>66.0</v>
      </c>
      <c r="BW951" s="3">
        <v>68.8</v>
      </c>
      <c r="BX951" s="3">
        <v>29.78</v>
      </c>
      <c r="BY951" s="3">
        <v>180.4</v>
      </c>
      <c r="BZ951" s="3">
        <v>42.06</v>
      </c>
    </row>
    <row r="952" ht="15.75" customHeight="1">
      <c r="A952" s="2" t="s">
        <v>105</v>
      </c>
      <c r="B952" s="3">
        <v>1410.0</v>
      </c>
    </row>
    <row r="953" ht="15.75" customHeight="1">
      <c r="A953" s="2" t="s">
        <v>113</v>
      </c>
      <c r="B953" s="3">
        <v>621.25</v>
      </c>
    </row>
    <row r="954" ht="15.75" customHeight="1">
      <c r="A954" s="2" t="s">
        <v>111</v>
      </c>
      <c r="B954" s="3">
        <v>500.0</v>
      </c>
    </row>
    <row r="955" ht="15.75" customHeight="1"/>
    <row r="956" ht="15.75" customHeight="1">
      <c r="A956" s="2" t="s">
        <v>114</v>
      </c>
      <c r="B956" s="3">
        <v>280.0</v>
      </c>
      <c r="C956" s="3">
        <v>165.0</v>
      </c>
    </row>
    <row r="957" ht="15.75" customHeight="1">
      <c r="A957" s="2" t="s">
        <v>87</v>
      </c>
      <c r="B957" s="3">
        <v>179.9</v>
      </c>
    </row>
    <row r="958" ht="15.75" customHeight="1">
      <c r="A958" s="2" t="s">
        <v>1</v>
      </c>
      <c r="B958" s="2">
        <f>SUM(B951:BP957)</f>
        <v>7545.79</v>
      </c>
    </row>
    <row r="959" ht="15.75" customHeight="1">
      <c r="A959" s="1">
        <v>44562.0</v>
      </c>
    </row>
    <row r="960" ht="15.75" customHeight="1">
      <c r="A960" s="2" t="s">
        <v>46</v>
      </c>
      <c r="B960" s="3">
        <v>5.37</v>
      </c>
      <c r="C960" s="3">
        <v>31.49</v>
      </c>
      <c r="D960" s="3">
        <v>74.76</v>
      </c>
      <c r="E960" s="3">
        <v>254.57</v>
      </c>
      <c r="F960" s="3">
        <v>27.1</v>
      </c>
      <c r="G960" s="3">
        <v>87.9</v>
      </c>
      <c r="H960" s="3">
        <v>62.81</v>
      </c>
      <c r="I960" s="3">
        <v>56.75</v>
      </c>
      <c r="J960" s="3">
        <v>76.38</v>
      </c>
      <c r="K960" s="3">
        <v>15.57</v>
      </c>
      <c r="L960" s="3">
        <v>67.17</v>
      </c>
      <c r="M960" s="3">
        <v>79.74</v>
      </c>
      <c r="N960" s="3">
        <v>217.5</v>
      </c>
      <c r="O960" s="3">
        <v>33.86</v>
      </c>
      <c r="P960" s="3">
        <v>21.34</v>
      </c>
      <c r="Q960" s="3">
        <v>126.44</v>
      </c>
      <c r="R960" s="3">
        <v>32.9</v>
      </c>
      <c r="S960" s="3">
        <v>49.5</v>
      </c>
      <c r="T960" s="3">
        <v>42.06</v>
      </c>
      <c r="U960" s="3">
        <v>24.9</v>
      </c>
      <c r="V960" s="3">
        <v>65.95</v>
      </c>
      <c r="W960" s="3"/>
    </row>
    <row r="961" ht="15.75" customHeight="1">
      <c r="A961" s="2" t="s">
        <v>115</v>
      </c>
      <c r="B961" s="3">
        <v>150.29</v>
      </c>
      <c r="C961" s="3">
        <v>32.0</v>
      </c>
      <c r="D961" s="3">
        <v>11.0</v>
      </c>
      <c r="E961" s="3">
        <v>40.0</v>
      </c>
      <c r="F961" s="3">
        <v>26.0</v>
      </c>
      <c r="G961" s="3">
        <v>45.3</v>
      </c>
      <c r="H961" s="3">
        <v>48.69</v>
      </c>
      <c r="I961" s="3">
        <v>151.0</v>
      </c>
      <c r="J961" s="3">
        <v>442.56</v>
      </c>
      <c r="K961" s="3">
        <v>38.47</v>
      </c>
      <c r="L961" s="3">
        <v>5.0</v>
      </c>
      <c r="M961" s="3">
        <v>7.0</v>
      </c>
      <c r="N961" s="3">
        <v>24.0</v>
      </c>
      <c r="O961" s="3">
        <v>33.0</v>
      </c>
      <c r="P961" s="3">
        <v>66.0</v>
      </c>
      <c r="Q961" s="3">
        <v>3.99</v>
      </c>
      <c r="R961" s="3">
        <v>9.99</v>
      </c>
      <c r="S961" s="3">
        <v>28.95</v>
      </c>
      <c r="T961" s="3">
        <v>65.0</v>
      </c>
      <c r="U961" s="3">
        <v>85.62</v>
      </c>
      <c r="V961" s="3">
        <v>3.25</v>
      </c>
      <c r="W961" s="3">
        <v>25.8</v>
      </c>
      <c r="X961" s="3">
        <v>53.0</v>
      </c>
      <c r="Y961" s="3">
        <v>38.0</v>
      </c>
      <c r="Z961" s="3">
        <v>40.0</v>
      </c>
      <c r="AA961" s="3">
        <v>51.11</v>
      </c>
      <c r="AB961" s="3">
        <v>247.62</v>
      </c>
      <c r="AC961" s="3">
        <v>40.0</v>
      </c>
      <c r="AD961" s="3">
        <v>181.17</v>
      </c>
      <c r="AE961" s="3">
        <v>53.0</v>
      </c>
      <c r="AF961" s="3">
        <v>14.0</v>
      </c>
      <c r="AG961" s="3">
        <v>89.79</v>
      </c>
      <c r="AH961" s="3">
        <v>14.6</v>
      </c>
      <c r="AI961" s="3">
        <v>35.96</v>
      </c>
      <c r="AJ961" s="3">
        <v>99.2</v>
      </c>
      <c r="AK961" s="3">
        <v>100.0</v>
      </c>
      <c r="AL961" s="3">
        <v>91.99</v>
      </c>
      <c r="AM961" s="3">
        <v>96.5</v>
      </c>
      <c r="AN961" s="3">
        <v>59.8</v>
      </c>
      <c r="AO961" s="3">
        <v>13.0</v>
      </c>
      <c r="AP961" s="3">
        <v>49.99</v>
      </c>
      <c r="AQ961" s="3">
        <v>45.0</v>
      </c>
      <c r="AR961" s="3">
        <v>144.0</v>
      </c>
      <c r="AS961" s="3">
        <v>55.0</v>
      </c>
      <c r="AT961" s="3">
        <v>285.0</v>
      </c>
      <c r="AU961" s="3">
        <v>18.0</v>
      </c>
      <c r="AV961" s="3">
        <v>72.75</v>
      </c>
      <c r="AW961" s="3">
        <v>66.44</v>
      </c>
      <c r="AX961" s="3">
        <v>57.45</v>
      </c>
      <c r="AY961" s="3">
        <v>15.6</v>
      </c>
      <c r="AZ961" s="3">
        <v>103.82</v>
      </c>
      <c r="BA961" s="3">
        <v>27.0</v>
      </c>
      <c r="BB961" s="3">
        <v>11.0</v>
      </c>
      <c r="BC961" s="3">
        <v>22.0</v>
      </c>
      <c r="BD961" s="3">
        <v>29.0</v>
      </c>
      <c r="BE961" s="3">
        <v>34.0</v>
      </c>
      <c r="BF961" s="3">
        <v>56.0</v>
      </c>
      <c r="BG961" s="3">
        <v>78.0</v>
      </c>
      <c r="BH961" s="3">
        <v>79.0</v>
      </c>
      <c r="BI961" s="3">
        <v>12.75</v>
      </c>
      <c r="BJ961" s="3">
        <v>7.0</v>
      </c>
      <c r="BK961" s="3">
        <v>225.0</v>
      </c>
      <c r="BL961" s="3">
        <v>101.03</v>
      </c>
      <c r="BM961" s="3">
        <v>95.76</v>
      </c>
      <c r="BN961" s="3">
        <v>59.8</v>
      </c>
      <c r="BO961" s="3">
        <v>271.87</v>
      </c>
    </row>
    <row r="962" ht="15.75" customHeight="1">
      <c r="A962" s="2" t="s">
        <v>105</v>
      </c>
      <c r="B962" s="3">
        <v>1400.0</v>
      </c>
    </row>
    <row r="963" ht="15.75" customHeight="1">
      <c r="A963" s="2" t="s">
        <v>113</v>
      </c>
      <c r="B963" s="3">
        <v>621.25</v>
      </c>
    </row>
    <row r="964" ht="15.75" customHeight="1">
      <c r="A964" s="2" t="s">
        <v>111</v>
      </c>
      <c r="B964" s="3">
        <v>500.0</v>
      </c>
    </row>
    <row r="965" ht="15.75" customHeight="1">
      <c r="A965" s="2" t="s">
        <v>110</v>
      </c>
      <c r="B965" s="3">
        <v>618.26</v>
      </c>
    </row>
    <row r="966" ht="15.75" customHeight="1">
      <c r="A966" s="2" t="s">
        <v>114</v>
      </c>
      <c r="B966" s="3">
        <v>280.0</v>
      </c>
    </row>
    <row r="967" ht="15.75" customHeight="1">
      <c r="A967" s="2" t="s">
        <v>87</v>
      </c>
      <c r="B967" s="3">
        <v>179.9</v>
      </c>
    </row>
    <row r="968" ht="15.75" customHeight="1">
      <c r="A968" s="2" t="s">
        <v>1</v>
      </c>
      <c r="B968" s="2">
        <f>SUM(B960:FV967)</f>
        <v>9737.38</v>
      </c>
    </row>
    <row r="969" ht="15.75" customHeight="1">
      <c r="A969" s="1">
        <v>44593.0</v>
      </c>
    </row>
    <row r="970" ht="15.75" customHeight="1">
      <c r="A970" s="2" t="s">
        <v>46</v>
      </c>
      <c r="B970" s="3">
        <v>74.76</v>
      </c>
      <c r="C970" s="3">
        <v>254.57</v>
      </c>
      <c r="D970" s="3">
        <v>27.1</v>
      </c>
      <c r="E970" s="3">
        <v>87.9</v>
      </c>
      <c r="F970" s="3">
        <v>62.81</v>
      </c>
      <c r="G970" s="3">
        <v>56.75</v>
      </c>
      <c r="H970" s="3">
        <v>76.38</v>
      </c>
      <c r="I970" s="3">
        <v>67.17</v>
      </c>
      <c r="J970" s="3">
        <v>79.74</v>
      </c>
      <c r="K970" s="3">
        <v>217.5</v>
      </c>
      <c r="L970" s="3">
        <v>33.86</v>
      </c>
      <c r="M970" s="3">
        <v>21.34</v>
      </c>
      <c r="N970" s="3">
        <v>126.44</v>
      </c>
      <c r="P970" s="3">
        <v>42.06</v>
      </c>
      <c r="Q970" s="3">
        <v>24.9</v>
      </c>
      <c r="R970" s="3">
        <v>32.9</v>
      </c>
      <c r="S970" s="3">
        <v>19.98</v>
      </c>
      <c r="T970" s="3">
        <v>78.74</v>
      </c>
      <c r="U970" s="3">
        <v>96.61</v>
      </c>
    </row>
    <row r="971" ht="15.75" customHeight="1">
      <c r="A971" s="2" t="s">
        <v>115</v>
      </c>
      <c r="B971" s="3">
        <v>150.29</v>
      </c>
      <c r="C971" s="3">
        <v>49.6</v>
      </c>
      <c r="D971" s="3">
        <v>46.0</v>
      </c>
      <c r="E971" s="3">
        <v>321.7</v>
      </c>
      <c r="F971" s="3">
        <v>260.26</v>
      </c>
      <c r="G971" s="3">
        <v>66.0</v>
      </c>
      <c r="H971" s="3">
        <v>95.0</v>
      </c>
      <c r="I971" s="3">
        <v>22.35</v>
      </c>
      <c r="J971" s="3">
        <v>65.0</v>
      </c>
      <c r="K971" s="3">
        <v>43.0</v>
      </c>
      <c r="L971" s="3">
        <v>47.0</v>
      </c>
      <c r="M971" s="3">
        <v>14.0</v>
      </c>
      <c r="N971" s="3">
        <v>51.0</v>
      </c>
      <c r="O971" s="3">
        <v>23.0</v>
      </c>
      <c r="P971" s="3">
        <v>71.82</v>
      </c>
    </row>
    <row r="972" ht="15.75" customHeight="1">
      <c r="A972" s="2" t="s">
        <v>105</v>
      </c>
      <c r="B972" s="3">
        <v>1400.0</v>
      </c>
    </row>
    <row r="973" ht="15.75" customHeight="1">
      <c r="A973" s="2" t="s">
        <v>113</v>
      </c>
      <c r="B973" s="3">
        <v>621.25</v>
      </c>
      <c r="D973" s="2" t="s">
        <v>116</v>
      </c>
      <c r="E973" s="33">
        <v>7000.0</v>
      </c>
    </row>
    <row r="974" ht="15.75" customHeight="1">
      <c r="A974" s="2" t="s">
        <v>111</v>
      </c>
      <c r="B974" s="3">
        <v>500.0</v>
      </c>
    </row>
    <row r="975" ht="15.75" customHeight="1">
      <c r="A975" s="2" t="s">
        <v>110</v>
      </c>
      <c r="B975" s="3">
        <v>618.26</v>
      </c>
    </row>
    <row r="976" ht="15.75" customHeight="1">
      <c r="A976" s="2" t="s">
        <v>114</v>
      </c>
      <c r="B976" s="3">
        <v>280.0</v>
      </c>
    </row>
    <row r="977" ht="15.75" customHeight="1">
      <c r="A977" s="2" t="s">
        <v>87</v>
      </c>
      <c r="B977" s="3">
        <v>179.9</v>
      </c>
    </row>
    <row r="978" ht="15.75" customHeight="1">
      <c r="A978" s="2" t="s">
        <v>1</v>
      </c>
      <c r="B978" s="2">
        <f>SUM(B970:DA977)</f>
        <v>13406.94</v>
      </c>
    </row>
    <row r="979" ht="15.75" customHeight="1">
      <c r="A979" s="1">
        <v>44621.0</v>
      </c>
    </row>
    <row r="980" ht="15.75" customHeight="1">
      <c r="A980" s="2" t="s">
        <v>46</v>
      </c>
      <c r="B980" s="3">
        <v>74.76</v>
      </c>
      <c r="C980" s="3">
        <v>254.57</v>
      </c>
      <c r="D980" s="3">
        <v>27.1</v>
      </c>
      <c r="E980" s="3">
        <v>87.9</v>
      </c>
      <c r="F980" s="3">
        <v>62.81</v>
      </c>
      <c r="G980" s="3">
        <v>56.75</v>
      </c>
      <c r="H980" s="3">
        <v>76.38</v>
      </c>
      <c r="I980" s="3">
        <v>67.17</v>
      </c>
      <c r="J980" s="3">
        <v>79.74</v>
      </c>
      <c r="K980" s="3">
        <v>217.5</v>
      </c>
      <c r="L980" s="3">
        <v>33.86</v>
      </c>
      <c r="M980" s="3">
        <v>126.44</v>
      </c>
      <c r="N980" s="3">
        <v>42.06</v>
      </c>
      <c r="O980" s="3">
        <v>505.93</v>
      </c>
      <c r="P980" s="3">
        <v>32.9</v>
      </c>
      <c r="Q980" s="3">
        <v>35.07</v>
      </c>
      <c r="R980" s="3">
        <v>201.2</v>
      </c>
    </row>
    <row r="981" ht="15.75" customHeight="1">
      <c r="A981" s="2" t="s">
        <v>115</v>
      </c>
      <c r="B981" s="3">
        <v>150.29</v>
      </c>
      <c r="C981" s="3">
        <v>66.0</v>
      </c>
      <c r="D981" s="3">
        <v>285.0</v>
      </c>
      <c r="E981" s="3">
        <v>61.25</v>
      </c>
    </row>
    <row r="982" ht="15.75" customHeight="1">
      <c r="A982" s="2" t="s">
        <v>105</v>
      </c>
      <c r="B982" s="3">
        <v>1400.0</v>
      </c>
    </row>
    <row r="983" ht="15.75" customHeight="1">
      <c r="A983" s="2" t="s">
        <v>87</v>
      </c>
      <c r="B983" s="3">
        <v>179.9</v>
      </c>
    </row>
    <row r="984" ht="15.75" customHeight="1">
      <c r="A984" s="2" t="s">
        <v>111</v>
      </c>
      <c r="B984" s="3">
        <v>500.0</v>
      </c>
    </row>
    <row r="985" ht="15.75" customHeight="1">
      <c r="A985" s="2" t="s">
        <v>110</v>
      </c>
      <c r="B985" s="3">
        <v>1220.0</v>
      </c>
    </row>
    <row r="986" ht="15.75" customHeight="1"/>
    <row r="987" ht="15.75" customHeight="1"/>
    <row r="988" ht="15.75" customHeight="1">
      <c r="A988" s="2" t="s">
        <v>1</v>
      </c>
      <c r="B988" s="2">
        <f>SUM(B980:DQ987)</f>
        <v>5844.58</v>
      </c>
    </row>
    <row r="989" ht="15.75" customHeight="1">
      <c r="A989" s="1">
        <v>44652.0</v>
      </c>
    </row>
    <row r="990" ht="15.75" customHeight="1">
      <c r="A990" s="2" t="s">
        <v>46</v>
      </c>
      <c r="B990" s="3">
        <v>74.76</v>
      </c>
      <c r="C990" s="3">
        <v>254.57</v>
      </c>
      <c r="D990" s="3">
        <v>27.1</v>
      </c>
      <c r="E990" s="3">
        <v>87.9</v>
      </c>
      <c r="F990" s="3">
        <v>62.81</v>
      </c>
      <c r="G990" s="3">
        <v>56.75</v>
      </c>
      <c r="H990" s="3">
        <v>76.38</v>
      </c>
      <c r="I990" s="3">
        <v>67.17</v>
      </c>
      <c r="J990" s="3">
        <v>79.74</v>
      </c>
      <c r="K990" s="3">
        <v>217.5</v>
      </c>
      <c r="L990" s="3">
        <v>126.44</v>
      </c>
      <c r="M990" s="3">
        <v>42.06</v>
      </c>
      <c r="N990" s="3">
        <v>505.93</v>
      </c>
      <c r="O990" s="3">
        <v>24.9</v>
      </c>
      <c r="P990" s="3">
        <v>23.0</v>
      </c>
      <c r="Q990" s="3">
        <v>32.9</v>
      </c>
      <c r="R990" s="3">
        <v>19.0</v>
      </c>
      <c r="S990" s="3">
        <v>66.48</v>
      </c>
      <c r="T990" s="3">
        <v>39.48</v>
      </c>
    </row>
    <row r="991" ht="15.75" customHeight="1">
      <c r="A991" s="2" t="s">
        <v>115</v>
      </c>
      <c r="B991" s="3">
        <v>150.29</v>
      </c>
      <c r="C991" s="3">
        <v>66.0</v>
      </c>
      <c r="D991" s="3">
        <v>295.0</v>
      </c>
    </row>
    <row r="992" ht="15.75" customHeight="1">
      <c r="A992" s="2" t="s">
        <v>105</v>
      </c>
      <c r="B992" s="2">
        <v>1300.0</v>
      </c>
    </row>
    <row r="993" ht="15.75" customHeight="1">
      <c r="A993" s="2" t="s">
        <v>110</v>
      </c>
      <c r="B993" s="2">
        <v>618.26</v>
      </c>
    </row>
    <row r="994" ht="15.75" customHeight="1">
      <c r="A994" s="2" t="s">
        <v>111</v>
      </c>
      <c r="B994" s="3">
        <v>500.0</v>
      </c>
    </row>
    <row r="995" ht="15.75" customHeight="1">
      <c r="A995" s="2" t="s">
        <v>87</v>
      </c>
      <c r="B995" s="3">
        <v>179.9</v>
      </c>
    </row>
    <row r="996" ht="15.75" customHeight="1">
      <c r="B996" s="32"/>
    </row>
    <row r="997" ht="15.75" customHeight="1"/>
    <row r="998" ht="15.75" customHeight="1">
      <c r="A998" s="2" t="s">
        <v>1</v>
      </c>
      <c r="B998" s="2">
        <f>SUM(B990:DE997)</f>
        <v>4994.32</v>
      </c>
    </row>
    <row r="999" ht="15.75" customHeight="1">
      <c r="A999" s="1">
        <v>44682.0</v>
      </c>
    </row>
    <row r="1000" ht="15.75" customHeight="1">
      <c r="A1000" s="2" t="s">
        <v>46</v>
      </c>
      <c r="B1000" s="3">
        <v>505.93</v>
      </c>
      <c r="C1000" s="3">
        <v>254.57</v>
      </c>
      <c r="D1000" s="3">
        <v>27.1</v>
      </c>
      <c r="E1000" s="3">
        <v>87.9</v>
      </c>
      <c r="F1000" s="3">
        <v>62.81</v>
      </c>
      <c r="G1000" s="3">
        <v>51.64</v>
      </c>
      <c r="H1000" s="3">
        <v>76.38</v>
      </c>
      <c r="I1000" s="3">
        <v>67.17</v>
      </c>
      <c r="J1000" s="3">
        <v>126.44</v>
      </c>
      <c r="K1000" s="3">
        <v>42.06</v>
      </c>
      <c r="L1000" s="3">
        <v>217.5</v>
      </c>
      <c r="M1000" s="3">
        <v>26.46</v>
      </c>
      <c r="N1000" s="3">
        <v>32.9</v>
      </c>
      <c r="O1000" s="3">
        <v>358.16</v>
      </c>
      <c r="P1000" s="3">
        <v>53.34</v>
      </c>
      <c r="Q1000" s="3">
        <v>16.0</v>
      </c>
      <c r="R1000" s="3">
        <v>9.48</v>
      </c>
      <c r="S1000" s="3">
        <v>69.98</v>
      </c>
      <c r="T1000" s="3">
        <v>11.0</v>
      </c>
      <c r="U1000" s="3">
        <v>22.9</v>
      </c>
      <c r="V1000" s="3">
        <v>26.5</v>
      </c>
      <c r="W1000" s="3">
        <v>26.5</v>
      </c>
      <c r="X1000" s="3">
        <v>72.0</v>
      </c>
      <c r="Y1000" s="3">
        <v>37.0</v>
      </c>
      <c r="Z1000" s="3">
        <v>7.5</v>
      </c>
      <c r="AA1000" s="3">
        <v>16.0</v>
      </c>
      <c r="AB1000" s="3">
        <v>71.76</v>
      </c>
      <c r="AC1000" s="3">
        <v>40.0</v>
      </c>
      <c r="AD1000" s="3">
        <v>55.0</v>
      </c>
      <c r="AE1000" s="3">
        <v>55.0</v>
      </c>
      <c r="AF1000" s="3">
        <v>52.8</v>
      </c>
      <c r="AG1000" s="3">
        <v>97.9</v>
      </c>
      <c r="AH1000" s="3">
        <v>30.0</v>
      </c>
      <c r="AI1000" s="3">
        <v>65.0</v>
      </c>
      <c r="AJ1000" s="3">
        <v>10.38</v>
      </c>
      <c r="AK1000" s="3">
        <v>47.5</v>
      </c>
      <c r="AL1000" s="3">
        <v>34.9</v>
      </c>
      <c r="AM1000" s="3">
        <v>44.8</v>
      </c>
      <c r="AN1000" s="3">
        <v>47.0</v>
      </c>
      <c r="AO1000" s="3">
        <v>21.18</v>
      </c>
      <c r="AP1000" s="3">
        <v>65.02</v>
      </c>
      <c r="AQ1000" s="3">
        <v>49.0</v>
      </c>
      <c r="AR1000" s="3">
        <v>34.99</v>
      </c>
      <c r="AS1000" s="3">
        <v>115.55</v>
      </c>
      <c r="AT1000" s="3">
        <v>24.9</v>
      </c>
    </row>
    <row r="1001" ht="15.75" customHeight="1">
      <c r="A1001" s="2" t="s">
        <v>115</v>
      </c>
      <c r="B1001" s="3">
        <v>150.29</v>
      </c>
      <c r="C1001" s="3">
        <v>295.0</v>
      </c>
    </row>
    <row r="1002" ht="15.75" customHeight="1">
      <c r="A1002" s="2" t="s">
        <v>105</v>
      </c>
      <c r="B1002" s="3">
        <v>1300.0</v>
      </c>
    </row>
    <row r="1003" ht="15.75" customHeight="1">
      <c r="A1003" s="2" t="s">
        <v>110</v>
      </c>
      <c r="B1003" s="3">
        <v>618.26</v>
      </c>
    </row>
    <row r="1004" ht="15.75" customHeight="1">
      <c r="A1004" s="2" t="s">
        <v>87</v>
      </c>
      <c r="B1004" s="3">
        <v>179.9</v>
      </c>
    </row>
    <row r="1005" ht="15.75" customHeight="1"/>
    <row r="1006" ht="15.75" customHeight="1"/>
    <row r="1007" ht="15.75" customHeight="1"/>
    <row r="1008" ht="15.75" customHeight="1">
      <c r="A1008" s="2" t="s">
        <v>1</v>
      </c>
      <c r="B1008" s="2">
        <f>SUM(B1000:DU1007)</f>
        <v>5811.35</v>
      </c>
    </row>
    <row r="1009" ht="15.75" customHeight="1">
      <c r="A1009" s="1">
        <v>44713.0</v>
      </c>
    </row>
    <row r="1010" ht="15.75" customHeight="1">
      <c r="A1010" s="2" t="s">
        <v>46</v>
      </c>
      <c r="B1010" s="3">
        <v>254.57</v>
      </c>
      <c r="C1010" s="3">
        <v>27.1</v>
      </c>
      <c r="D1010" s="3">
        <v>87.9</v>
      </c>
      <c r="E1010" s="3">
        <v>62.81</v>
      </c>
      <c r="F1010" s="3">
        <v>51.64</v>
      </c>
      <c r="G1010" s="3">
        <v>76.38</v>
      </c>
      <c r="H1010" s="3">
        <v>67.17</v>
      </c>
      <c r="I1010" s="3">
        <v>126.44</v>
      </c>
      <c r="J1010" s="3">
        <v>42.06</v>
      </c>
      <c r="K1010" s="3">
        <v>217.5</v>
      </c>
      <c r="L1010" s="3">
        <v>505.93</v>
      </c>
      <c r="M1010" s="3">
        <v>53.34</v>
      </c>
      <c r="N1010" s="3">
        <v>69.98</v>
      </c>
      <c r="O1010" s="3">
        <v>24.9</v>
      </c>
      <c r="P1010" s="3">
        <v>32.9</v>
      </c>
      <c r="Q1010" s="3">
        <v>200.0</v>
      </c>
      <c r="R1010" s="3">
        <v>295.0</v>
      </c>
      <c r="S1010" s="3">
        <v>24.5</v>
      </c>
      <c r="T1010" s="3">
        <v>36.57</v>
      </c>
      <c r="U1010" s="3">
        <v>173.8</v>
      </c>
      <c r="V1010" s="3">
        <v>35.0</v>
      </c>
      <c r="W1010" s="3">
        <v>5.28</v>
      </c>
      <c r="X1010" s="3">
        <v>24.31</v>
      </c>
      <c r="Y1010" s="3">
        <v>96.0</v>
      </c>
      <c r="Z1010" s="3">
        <v>59.57</v>
      </c>
      <c r="AA1010" s="3">
        <v>16.98</v>
      </c>
      <c r="AB1010" s="3">
        <v>45.0</v>
      </c>
      <c r="AC1010" s="3">
        <v>45.0</v>
      </c>
      <c r="AD1010" s="3">
        <v>22.0</v>
      </c>
      <c r="AE1010" s="3">
        <v>25.79</v>
      </c>
      <c r="AF1010" s="3">
        <v>32.57</v>
      </c>
      <c r="AG1010" s="3">
        <v>75.0</v>
      </c>
      <c r="AH1010" s="3">
        <v>106.91</v>
      </c>
      <c r="AI1010" s="3">
        <v>24.46</v>
      </c>
      <c r="AJ1010" s="3">
        <v>162.37</v>
      </c>
      <c r="AK1010" s="3">
        <v>10.0</v>
      </c>
      <c r="AL1010" s="3">
        <v>29.99</v>
      </c>
    </row>
    <row r="1011" ht="15.75" customHeight="1">
      <c r="A1011" s="2" t="s">
        <v>115</v>
      </c>
    </row>
    <row r="1012" ht="15.75" customHeight="1">
      <c r="A1012" s="2" t="s">
        <v>105</v>
      </c>
      <c r="B1012" s="3">
        <v>1300.0</v>
      </c>
    </row>
    <row r="1013" ht="15.75" customHeight="1">
      <c r="A1013" s="2" t="s">
        <v>110</v>
      </c>
      <c r="B1013" s="3">
        <v>618.26</v>
      </c>
    </row>
    <row r="1014" ht="15.75" customHeight="1">
      <c r="A1014" s="2" t="s">
        <v>87</v>
      </c>
      <c r="B1014" s="3">
        <v>179.9</v>
      </c>
    </row>
    <row r="1015" ht="15.75" customHeight="1"/>
    <row r="1016" ht="15.75" customHeight="1"/>
    <row r="1017" ht="15.75" customHeight="1"/>
    <row r="1018" ht="15.75" customHeight="1">
      <c r="A1018" s="2" t="s">
        <v>1</v>
      </c>
      <c r="B1018" s="2">
        <f>SUM(B1010:ED1017)</f>
        <v>5344.88</v>
      </c>
    </row>
    <row r="1019" ht="15.75" customHeight="1">
      <c r="A1019" s="1">
        <v>44743.0</v>
      </c>
    </row>
    <row r="1020" ht="15.75" customHeight="1">
      <c r="A1020" s="2" t="s">
        <v>46</v>
      </c>
      <c r="B1020" s="3">
        <v>62.81</v>
      </c>
      <c r="C1020" s="3">
        <v>51.64</v>
      </c>
      <c r="D1020" s="3">
        <v>76.38</v>
      </c>
      <c r="E1020" s="3">
        <v>126.44</v>
      </c>
      <c r="F1020" s="3">
        <v>42.06</v>
      </c>
      <c r="G1020" s="3">
        <v>505.93</v>
      </c>
      <c r="H1020" s="3">
        <v>53.34</v>
      </c>
      <c r="I1020" s="3">
        <v>69.98</v>
      </c>
      <c r="J1020" s="3">
        <v>32.9</v>
      </c>
      <c r="K1020" s="3">
        <v>24.9</v>
      </c>
      <c r="L1020" s="3">
        <v>295.0</v>
      </c>
      <c r="M1020" s="3">
        <v>102.04</v>
      </c>
      <c r="N1020" s="3">
        <v>64.8</v>
      </c>
      <c r="O1020" s="3">
        <v>36.0</v>
      </c>
      <c r="P1020" s="3">
        <v>36.0</v>
      </c>
      <c r="Q1020" s="3">
        <v>37.6</v>
      </c>
      <c r="R1020" s="3">
        <v>90.0</v>
      </c>
      <c r="S1020" s="3">
        <v>38.0</v>
      </c>
      <c r="T1020" s="3">
        <v>9.06</v>
      </c>
      <c r="U1020" s="3">
        <v>150.0</v>
      </c>
      <c r="V1020" s="3">
        <v>109.0</v>
      </c>
      <c r="W1020" s="3">
        <v>24.0</v>
      </c>
      <c r="X1020" s="3">
        <v>25.0</v>
      </c>
      <c r="Y1020" s="3">
        <v>12.0</v>
      </c>
      <c r="Z1020" s="3">
        <v>16.0</v>
      </c>
      <c r="AA1020" s="3">
        <v>15.0</v>
      </c>
      <c r="AB1020" s="3">
        <v>16.0</v>
      </c>
      <c r="AC1020" s="3">
        <v>94.89</v>
      </c>
      <c r="AD1020" s="3">
        <v>60.0</v>
      </c>
      <c r="AE1020" s="3">
        <v>7.35</v>
      </c>
      <c r="AF1020" s="3">
        <v>440.34</v>
      </c>
      <c r="AG1020" s="3">
        <v>358.0</v>
      </c>
      <c r="AH1020" s="3">
        <v>278.86</v>
      </c>
      <c r="AI1020" s="3">
        <v>239.8</v>
      </c>
      <c r="AJ1020" s="3">
        <v>53.12</v>
      </c>
      <c r="AK1020" s="3">
        <v>24.0</v>
      </c>
      <c r="AL1020" s="3">
        <v>24.0</v>
      </c>
      <c r="AM1020" s="3">
        <v>71.39</v>
      </c>
      <c r="AN1020" s="3">
        <v>40.0</v>
      </c>
      <c r="AO1020" s="3">
        <v>24.0</v>
      </c>
      <c r="AP1020" s="3">
        <v>31.0</v>
      </c>
      <c r="AQ1020" s="3">
        <v>100.0</v>
      </c>
      <c r="AR1020" s="3">
        <v>16.0</v>
      </c>
      <c r="AS1020" s="3">
        <v>52.0</v>
      </c>
      <c r="AT1020" s="3">
        <v>30.0</v>
      </c>
      <c r="AU1020" s="3">
        <v>7.45</v>
      </c>
      <c r="AV1020" s="3">
        <v>82.17</v>
      </c>
      <c r="AW1020" s="3">
        <v>68.3</v>
      </c>
      <c r="AX1020" s="3">
        <v>58.0</v>
      </c>
      <c r="AY1020" s="3">
        <v>7.5</v>
      </c>
      <c r="AZ1020" s="3">
        <v>47.45</v>
      </c>
      <c r="BA1020" s="3">
        <v>21.06</v>
      </c>
      <c r="BB1020" s="3">
        <v>112.36</v>
      </c>
      <c r="BC1020" s="3">
        <v>60.0</v>
      </c>
      <c r="BD1020" s="3">
        <v>38.34</v>
      </c>
      <c r="BE1020" s="3">
        <v>6.0</v>
      </c>
      <c r="BF1020" s="3">
        <v>27.5</v>
      </c>
      <c r="BG1020" s="3">
        <v>14.43</v>
      </c>
      <c r="BH1020" s="3">
        <v>36.89</v>
      </c>
      <c r="BI1020" s="3">
        <v>37.9</v>
      </c>
      <c r="BJ1020" s="3">
        <v>65.0</v>
      </c>
      <c r="BK1020" s="3">
        <v>45.0</v>
      </c>
      <c r="BL1020" s="3">
        <v>45.0</v>
      </c>
      <c r="BM1020" s="3">
        <v>45.0</v>
      </c>
      <c r="BN1020" s="3">
        <v>36.0</v>
      </c>
      <c r="BO1020" s="3">
        <v>67.0</v>
      </c>
      <c r="BP1020" s="3">
        <v>11.36</v>
      </c>
      <c r="BQ1020" s="3">
        <v>7.5</v>
      </c>
      <c r="BR1020" s="3">
        <v>42.38</v>
      </c>
      <c r="BS1020" s="3">
        <v>9.0</v>
      </c>
      <c r="BT1020" s="3">
        <v>17.9</v>
      </c>
      <c r="BU1020" s="3">
        <v>46.0</v>
      </c>
    </row>
    <row r="1021" ht="15.75" customHeight="1">
      <c r="A1021" s="2" t="s">
        <v>115</v>
      </c>
      <c r="C1021" s="3">
        <v>153.74</v>
      </c>
    </row>
    <row r="1022" ht="15.75" customHeight="1">
      <c r="A1022" s="2" t="s">
        <v>105</v>
      </c>
      <c r="B1022" s="3">
        <v>1300.0</v>
      </c>
    </row>
    <row r="1023" ht="15.75" customHeight="1">
      <c r="A1023" s="2" t="s">
        <v>110</v>
      </c>
      <c r="B1023" s="3">
        <v>618.26</v>
      </c>
    </row>
    <row r="1024" ht="15.75" customHeight="1">
      <c r="A1024" s="2" t="s">
        <v>117</v>
      </c>
      <c r="B1024" s="3">
        <v>1000.0</v>
      </c>
    </row>
    <row r="1025" ht="15.75" customHeight="1">
      <c r="A1025" s="2" t="s">
        <v>118</v>
      </c>
    </row>
    <row r="1026" ht="15.75" customHeight="1">
      <c r="A1026" s="2" t="s">
        <v>87</v>
      </c>
      <c r="B1026" s="3">
        <v>179.9</v>
      </c>
    </row>
    <row r="1027" ht="15.75" customHeight="1"/>
    <row r="1028" ht="15.75" customHeight="1"/>
    <row r="1029" ht="15.75" customHeight="1">
      <c r="A1029" s="2" t="s">
        <v>1</v>
      </c>
      <c r="B1029" s="2">
        <f>SUM(B1020:CJ1028)</f>
        <v>8381.02</v>
      </c>
    </row>
    <row r="1030" ht="15.75" customHeight="1">
      <c r="A1030" s="1">
        <v>44774.0</v>
      </c>
    </row>
    <row r="1031" ht="15.75" customHeight="1">
      <c r="A1031" s="2" t="s">
        <v>46</v>
      </c>
      <c r="B1031" s="3">
        <v>62.81</v>
      </c>
      <c r="C1031" s="3">
        <v>51.64</v>
      </c>
      <c r="D1031" s="3">
        <v>126.44</v>
      </c>
      <c r="E1031" s="3">
        <v>42.06</v>
      </c>
      <c r="F1031" s="3">
        <v>505.93</v>
      </c>
      <c r="G1031" s="3">
        <v>295.0</v>
      </c>
      <c r="H1031" s="3">
        <v>440.34</v>
      </c>
      <c r="I1031" s="3">
        <v>32.9</v>
      </c>
      <c r="J1031" s="3">
        <v>24.9</v>
      </c>
      <c r="K1031" s="3">
        <v>14.0</v>
      </c>
      <c r="L1031" s="3">
        <v>116.6</v>
      </c>
      <c r="M1031" s="3">
        <v>233.1</v>
      </c>
      <c r="N1031" s="3">
        <v>49.9</v>
      </c>
      <c r="O1031" s="3">
        <v>66.7</v>
      </c>
      <c r="P1031" s="3">
        <v>279.12</v>
      </c>
      <c r="Q1031" s="3">
        <v>47.0</v>
      </c>
      <c r="R1031" s="3">
        <v>47.0</v>
      </c>
      <c r="S1031" s="3">
        <v>61.0</v>
      </c>
      <c r="T1031" s="3">
        <v>99.53</v>
      </c>
      <c r="U1031" s="3">
        <v>18.7</v>
      </c>
      <c r="V1031" s="3">
        <v>109.34</v>
      </c>
      <c r="W1031" s="3">
        <v>77.0</v>
      </c>
      <c r="X1031" s="3">
        <v>44.3</v>
      </c>
      <c r="Y1031" s="3">
        <v>196.91</v>
      </c>
      <c r="Z1031" s="3">
        <v>100.0</v>
      </c>
      <c r="AA1031" s="3">
        <v>50.0</v>
      </c>
      <c r="AB1031" s="3">
        <v>19.98</v>
      </c>
      <c r="AC1031" s="3">
        <v>69.6</v>
      </c>
      <c r="AD1031" s="3">
        <v>81.7</v>
      </c>
      <c r="AE1031" s="3">
        <v>6.0</v>
      </c>
      <c r="AF1031" s="3">
        <v>61.0</v>
      </c>
      <c r="AG1031" s="3">
        <v>25.0</v>
      </c>
      <c r="AH1031" s="3">
        <v>46.0</v>
      </c>
      <c r="AI1031" s="3">
        <v>61.0</v>
      </c>
      <c r="AJ1031" s="3">
        <v>62.31</v>
      </c>
      <c r="AK1031" s="3">
        <v>42.0</v>
      </c>
      <c r="AL1031" s="3">
        <v>7.5</v>
      </c>
      <c r="AM1031" s="3">
        <v>38.7</v>
      </c>
      <c r="AN1031" s="3">
        <v>20.0</v>
      </c>
      <c r="AO1031" s="3">
        <v>44.0</v>
      </c>
      <c r="AP1031" s="3">
        <v>42.5</v>
      </c>
      <c r="AQ1031" s="3">
        <v>167.65</v>
      </c>
      <c r="AR1031" s="3">
        <v>69.9</v>
      </c>
      <c r="AS1031" s="3">
        <v>10.0</v>
      </c>
      <c r="AT1031" s="3">
        <v>34.0</v>
      </c>
      <c r="AU1031" s="3">
        <v>17.0</v>
      </c>
      <c r="AV1031" s="3">
        <v>108.0</v>
      </c>
      <c r="AW1031" s="3">
        <v>64.0</v>
      </c>
      <c r="AX1031" s="3">
        <v>35.0</v>
      </c>
      <c r="AY1031" s="3">
        <v>12.0</v>
      </c>
      <c r="AZ1031" s="3">
        <v>10.0</v>
      </c>
      <c r="BA1031" s="3">
        <v>55.0</v>
      </c>
      <c r="BB1031" s="3">
        <v>40.0</v>
      </c>
      <c r="BC1031" s="3">
        <v>61.0</v>
      </c>
      <c r="BD1031" s="3">
        <v>120.0</v>
      </c>
      <c r="BE1031" s="3">
        <v>18.78</v>
      </c>
      <c r="BF1031" s="3">
        <v>20.71</v>
      </c>
      <c r="BG1031" s="3">
        <v>44.9</v>
      </c>
      <c r="BH1031" s="3">
        <v>23.25</v>
      </c>
      <c r="BI1031" s="3">
        <v>50.0</v>
      </c>
      <c r="BJ1031" s="3">
        <v>7.0</v>
      </c>
      <c r="BK1031" s="3">
        <v>238.21</v>
      </c>
      <c r="BL1031" s="3">
        <v>22.98</v>
      </c>
      <c r="BM1031" s="3">
        <v>46.0</v>
      </c>
      <c r="BN1031" s="3">
        <v>35.0</v>
      </c>
      <c r="BO1031" s="3">
        <v>65.9</v>
      </c>
      <c r="BP1031" s="3">
        <v>6.56</v>
      </c>
      <c r="BQ1031" s="3">
        <v>74.8</v>
      </c>
      <c r="BR1031" s="3">
        <v>16.0</v>
      </c>
    </row>
    <row r="1032" ht="15.75" customHeight="1">
      <c r="A1032" s="2" t="s">
        <v>115</v>
      </c>
      <c r="B1032" s="3">
        <v>153.74</v>
      </c>
    </row>
    <row r="1033" ht="15.75" customHeight="1">
      <c r="A1033" s="2" t="s">
        <v>105</v>
      </c>
      <c r="B1033" s="3">
        <v>1300.0</v>
      </c>
    </row>
    <row r="1034" ht="15.75" customHeight="1">
      <c r="A1034" s="2" t="s">
        <v>110</v>
      </c>
      <c r="B1034" s="3">
        <v>618.26</v>
      </c>
    </row>
    <row r="1035" ht="15.75" customHeight="1">
      <c r="A1035" s="2" t="s">
        <v>117</v>
      </c>
      <c r="B1035" s="3">
        <v>500.0</v>
      </c>
    </row>
    <row r="1036" ht="15.75" customHeight="1">
      <c r="A1036" s="2" t="s">
        <v>87</v>
      </c>
      <c r="B1036" s="3">
        <v>179.9</v>
      </c>
    </row>
    <row r="1037" ht="15.75" customHeight="1"/>
    <row r="1038" ht="15.75" customHeight="1"/>
    <row r="1039" ht="15.75" customHeight="1"/>
    <row r="1040" ht="15.75" customHeight="1">
      <c r="A1040" s="1">
        <v>44805.0</v>
      </c>
    </row>
    <row r="1041" ht="15.75" customHeight="1">
      <c r="A1041" s="2" t="s">
        <v>46</v>
      </c>
      <c r="B1041" s="3">
        <v>62.81</v>
      </c>
      <c r="C1041" s="3">
        <v>51.64</v>
      </c>
      <c r="D1041" s="3">
        <v>42.06</v>
      </c>
      <c r="E1041" s="3">
        <v>505.93</v>
      </c>
      <c r="F1041" s="3">
        <v>1210.0</v>
      </c>
      <c r="G1041" s="3">
        <v>440.34</v>
      </c>
      <c r="H1041" s="3">
        <v>109.34</v>
      </c>
      <c r="I1041" s="3">
        <v>42.5</v>
      </c>
      <c r="J1041" s="3">
        <v>31.74</v>
      </c>
      <c r="K1041" s="3">
        <v>14.96</v>
      </c>
      <c r="L1041" s="3">
        <v>53.0</v>
      </c>
      <c r="M1041" s="3">
        <v>2409.0</v>
      </c>
      <c r="N1041" s="3">
        <v>32.9</v>
      </c>
      <c r="O1041" s="3">
        <v>47.46</v>
      </c>
      <c r="P1041" s="3">
        <v>83.01</v>
      </c>
      <c r="Q1041" s="3">
        <v>59.8</v>
      </c>
      <c r="R1041" s="3">
        <v>57.0</v>
      </c>
      <c r="S1041" s="3">
        <v>93.5</v>
      </c>
      <c r="T1041" s="3">
        <v>44.0</v>
      </c>
      <c r="U1041" s="3">
        <v>42.0</v>
      </c>
      <c r="V1041" s="3">
        <v>17.0</v>
      </c>
      <c r="W1041" s="3">
        <v>44.0</v>
      </c>
      <c r="X1041" s="3">
        <v>12.0</v>
      </c>
      <c r="Y1041" s="3">
        <v>44.0</v>
      </c>
      <c r="Z1041" s="3">
        <v>12.0</v>
      </c>
      <c r="AA1041" s="3">
        <v>72.0</v>
      </c>
      <c r="AB1041" s="3">
        <v>78.0</v>
      </c>
      <c r="AC1041" s="3">
        <v>56.23</v>
      </c>
      <c r="AD1041" s="3">
        <v>50.88</v>
      </c>
      <c r="AE1041" s="3">
        <v>14.48</v>
      </c>
      <c r="AF1041" s="3">
        <v>12.75</v>
      </c>
      <c r="AG1041" s="3">
        <v>60.0</v>
      </c>
      <c r="AH1041" s="3">
        <v>44.19</v>
      </c>
      <c r="AI1041" s="3">
        <v>48.88</v>
      </c>
      <c r="AJ1041" s="3">
        <v>66.9</v>
      </c>
      <c r="AK1041" s="3">
        <v>56.5</v>
      </c>
      <c r="AL1041" s="3">
        <v>293.1</v>
      </c>
      <c r="AM1041" s="3">
        <v>98.77</v>
      </c>
      <c r="AN1041" s="3">
        <v>39.0</v>
      </c>
      <c r="AO1041" s="3">
        <v>50.0</v>
      </c>
      <c r="AP1041" s="3">
        <v>54.5</v>
      </c>
      <c r="AQ1041" s="3">
        <v>197.5</v>
      </c>
      <c r="AR1041" s="3">
        <v>80.06</v>
      </c>
      <c r="AS1041" s="3">
        <v>29.19</v>
      </c>
      <c r="AT1041" s="3">
        <v>44.37</v>
      </c>
      <c r="AU1041" s="3">
        <v>10.0</v>
      </c>
      <c r="AV1041" s="3">
        <v>55.0</v>
      </c>
      <c r="AW1041" s="3">
        <v>52.5</v>
      </c>
      <c r="AX1041" s="3">
        <v>66.0</v>
      </c>
      <c r="AY1041" s="3">
        <v>35.0</v>
      </c>
      <c r="AZ1041" s="3">
        <v>34.9</v>
      </c>
      <c r="BA1041" s="3">
        <v>174.4</v>
      </c>
      <c r="BB1041" s="3">
        <v>71.37</v>
      </c>
      <c r="BC1041" s="3">
        <v>25.5</v>
      </c>
      <c r="BD1041" s="3">
        <v>81.7</v>
      </c>
      <c r="BE1041" s="3">
        <v>54.38</v>
      </c>
      <c r="BF1041" s="3">
        <v>19.0</v>
      </c>
      <c r="BG1041" s="3">
        <v>93.28</v>
      </c>
      <c r="BH1041" s="3">
        <v>7.98</v>
      </c>
      <c r="BI1041" s="3">
        <v>75.0</v>
      </c>
      <c r="BJ1041" s="3">
        <v>41.0</v>
      </c>
      <c r="BK1041" s="3">
        <v>51.31</v>
      </c>
      <c r="BL1041" s="3">
        <v>49.0</v>
      </c>
      <c r="BM1041" s="3">
        <v>7.0</v>
      </c>
      <c r="BN1041" s="3">
        <v>30.0</v>
      </c>
      <c r="BO1041" s="3">
        <v>31.0</v>
      </c>
      <c r="BP1041" s="3">
        <v>31.0</v>
      </c>
      <c r="BQ1041" s="3">
        <v>60.57</v>
      </c>
      <c r="BR1041" s="3">
        <v>140.0</v>
      </c>
      <c r="BS1041" s="3">
        <v>248.48</v>
      </c>
      <c r="BT1041" s="3">
        <v>78.65</v>
      </c>
      <c r="BU1041" s="3">
        <v>39.4</v>
      </c>
      <c r="BV1041" s="3">
        <v>61.02</v>
      </c>
      <c r="BW1041" s="3">
        <v>43.0</v>
      </c>
      <c r="BX1041" s="3">
        <v>45.0</v>
      </c>
      <c r="BY1041" s="3">
        <v>61.0</v>
      </c>
      <c r="BZ1041" s="3">
        <v>25.0</v>
      </c>
      <c r="CA1041" s="3">
        <v>75.0</v>
      </c>
    </row>
    <row r="1042" ht="15.75" customHeight="1">
      <c r="A1042" s="2" t="s">
        <v>115</v>
      </c>
      <c r="B1042" s="3">
        <v>335.0</v>
      </c>
      <c r="C1042" s="3">
        <v>153.74</v>
      </c>
    </row>
    <row r="1043" ht="15.75" customHeight="1">
      <c r="A1043" s="2" t="s">
        <v>105</v>
      </c>
      <c r="B1043" s="2">
        <v>1300.0</v>
      </c>
    </row>
    <row r="1044" ht="15.75" customHeight="1">
      <c r="A1044" s="2" t="s">
        <v>110</v>
      </c>
      <c r="B1044" s="2">
        <v>618.26</v>
      </c>
    </row>
    <row r="1045" ht="15.75" customHeight="1">
      <c r="A1045" s="2" t="s">
        <v>87</v>
      </c>
      <c r="B1045" s="32">
        <v>179.9</v>
      </c>
    </row>
    <row r="1046" ht="15.75" customHeight="1"/>
    <row r="1047" ht="15.75" customHeight="1"/>
    <row r="1048" ht="15.75" customHeight="1">
      <c r="A1048" s="2" t="s">
        <v>1</v>
      </c>
      <c r="B1048" s="2">
        <f>SUM(B1041:CE1047)</f>
        <v>11569.63</v>
      </c>
    </row>
    <row r="1049" ht="15.75" customHeight="1"/>
    <row r="1050" ht="15.75" customHeight="1">
      <c r="A1050" s="1">
        <v>44835.0</v>
      </c>
    </row>
    <row r="1051" ht="15.75" customHeight="1">
      <c r="A1051" s="2" t="s">
        <v>46</v>
      </c>
      <c r="B1051" s="3">
        <v>505.93</v>
      </c>
      <c r="C1051" s="3">
        <v>1210.0</v>
      </c>
      <c r="D1051" s="3">
        <v>764.16</v>
      </c>
      <c r="E1051" s="3">
        <v>197.5</v>
      </c>
      <c r="F1051" s="3">
        <v>93.28</v>
      </c>
      <c r="G1051" s="3">
        <v>71.37</v>
      </c>
      <c r="H1051" s="3">
        <v>53.0</v>
      </c>
      <c r="I1051" s="3">
        <v>194.72</v>
      </c>
      <c r="J1051" s="3">
        <v>32.9</v>
      </c>
      <c r="K1051" s="3">
        <v>24.9</v>
      </c>
      <c r="L1051" s="3">
        <v>53.38</v>
      </c>
      <c r="M1051" s="3">
        <v>19.53</v>
      </c>
      <c r="N1051" s="3">
        <v>44.9</v>
      </c>
      <c r="O1051" s="3">
        <v>22.74</v>
      </c>
      <c r="P1051" s="3">
        <v>26.4</v>
      </c>
      <c r="Q1051" s="3">
        <v>26.5</v>
      </c>
      <c r="R1051" s="3">
        <v>40.0</v>
      </c>
      <c r="S1051" s="3">
        <v>41.0</v>
      </c>
      <c r="T1051" s="3">
        <v>25.0</v>
      </c>
      <c r="U1051" s="3">
        <v>41.0</v>
      </c>
      <c r="V1051" s="3">
        <v>80.7</v>
      </c>
      <c r="W1051" s="3">
        <v>40.0</v>
      </c>
      <c r="X1051" s="3">
        <v>48.0</v>
      </c>
      <c r="Y1051" s="3">
        <v>20.0</v>
      </c>
      <c r="Z1051" s="3">
        <v>48.0</v>
      </c>
      <c r="AA1051" s="3">
        <v>25.0</v>
      </c>
      <c r="AB1051" s="3">
        <v>20.0</v>
      </c>
      <c r="AC1051" s="3">
        <v>20.0</v>
      </c>
      <c r="AD1051" s="3">
        <v>20.0</v>
      </c>
      <c r="AE1051" s="3">
        <v>14.1</v>
      </c>
      <c r="AF1051" s="3">
        <v>61.56</v>
      </c>
      <c r="AG1051" s="3">
        <v>81.0</v>
      </c>
      <c r="AH1051" s="3">
        <v>19.5</v>
      </c>
      <c r="AI1051" s="3">
        <v>47.5</v>
      </c>
      <c r="AJ1051" s="3">
        <v>36.0</v>
      </c>
      <c r="AK1051" s="3">
        <v>57.7</v>
      </c>
      <c r="AL1051" s="3">
        <v>45.0</v>
      </c>
      <c r="AM1051" s="3">
        <v>13.0</v>
      </c>
      <c r="AN1051" s="3">
        <v>29.0</v>
      </c>
      <c r="AO1051" s="3">
        <v>24.99</v>
      </c>
      <c r="AP1051" s="3">
        <v>56.0</v>
      </c>
      <c r="AQ1051" s="3">
        <v>81.29</v>
      </c>
      <c r="AR1051" s="3">
        <v>41.0</v>
      </c>
      <c r="AS1051" s="3">
        <v>18.0</v>
      </c>
      <c r="AT1051" s="3">
        <v>60.0</v>
      </c>
      <c r="AU1051" s="3">
        <v>48.0</v>
      </c>
      <c r="AV1051" s="3">
        <v>162.0</v>
      </c>
      <c r="AW1051" s="3">
        <v>50.0</v>
      </c>
      <c r="AX1051" s="3">
        <v>20.0</v>
      </c>
      <c r="AY1051" s="3">
        <v>52.96</v>
      </c>
      <c r="AZ1051" s="3">
        <v>24.0</v>
      </c>
      <c r="BA1051" s="3">
        <v>9.0</v>
      </c>
    </row>
    <row r="1052" ht="15.75" customHeight="1">
      <c r="A1052" s="2" t="s">
        <v>115</v>
      </c>
      <c r="B1052" s="3">
        <v>295.0</v>
      </c>
      <c r="C1052" s="3">
        <v>153.74</v>
      </c>
    </row>
    <row r="1053" ht="15.75" customHeight="1">
      <c r="A1053" s="2" t="s">
        <v>105</v>
      </c>
      <c r="B1053" s="2">
        <v>1300.0</v>
      </c>
    </row>
    <row r="1054" ht="15.75" customHeight="1">
      <c r="A1054" s="2" t="s">
        <v>110</v>
      </c>
      <c r="B1054" s="2">
        <v>618.26</v>
      </c>
    </row>
    <row r="1055" ht="15.75" customHeight="1">
      <c r="A1055" s="2" t="s">
        <v>87</v>
      </c>
      <c r="B1055" s="32">
        <v>179.9</v>
      </c>
    </row>
    <row r="1056" ht="15.75" customHeight="1"/>
    <row r="1057" ht="15.75" customHeight="1"/>
    <row r="1058" ht="15.75" customHeight="1">
      <c r="A1058" s="2" t="s">
        <v>1</v>
      </c>
      <c r="B1058" s="2">
        <f>SUM(B1051:FC1057)</f>
        <v>7408.41</v>
      </c>
    </row>
    <row r="1059" ht="15.75" customHeight="1"/>
    <row r="1060" ht="15.75" customHeight="1">
      <c r="A1060" s="1">
        <v>44866.0</v>
      </c>
    </row>
    <row r="1061" ht="15.75" customHeight="1">
      <c r="A1061" s="2" t="s">
        <v>46</v>
      </c>
      <c r="B1061" s="3">
        <v>505.93</v>
      </c>
      <c r="C1061" s="3">
        <v>1210.0</v>
      </c>
      <c r="D1061" s="3">
        <v>197.5</v>
      </c>
      <c r="E1061" s="3">
        <v>93.28</v>
      </c>
      <c r="F1061" s="3">
        <v>61.56</v>
      </c>
      <c r="G1061" s="3">
        <v>764.16</v>
      </c>
      <c r="H1061" s="3">
        <v>22.0</v>
      </c>
      <c r="I1061" s="3">
        <v>24.9</v>
      </c>
      <c r="J1061" s="3">
        <v>204.42</v>
      </c>
      <c r="K1061" s="3">
        <v>30.0</v>
      </c>
      <c r="L1061" s="3">
        <v>80.75</v>
      </c>
      <c r="M1061" s="3">
        <v>7.9</v>
      </c>
      <c r="N1061" s="3">
        <v>32.9</v>
      </c>
      <c r="O1061" s="3">
        <v>31.25</v>
      </c>
      <c r="P1061" s="3">
        <v>16.0</v>
      </c>
      <c r="Q1061" s="3">
        <v>160.0</v>
      </c>
      <c r="R1061" s="3">
        <v>75.86</v>
      </c>
      <c r="S1061" s="3">
        <v>73.11</v>
      </c>
      <c r="T1061" s="3">
        <v>100.0</v>
      </c>
      <c r="U1061" s="3">
        <v>14.75</v>
      </c>
      <c r="V1061" s="3">
        <v>16.36</v>
      </c>
      <c r="W1061" s="3">
        <v>97.87</v>
      </c>
      <c r="X1061" s="3">
        <v>176.5</v>
      </c>
      <c r="Y1061" s="3">
        <v>15.75</v>
      </c>
      <c r="Z1061" s="3">
        <v>67.99</v>
      </c>
      <c r="AA1061" s="3">
        <v>21.54</v>
      </c>
      <c r="AB1061" s="3">
        <v>16.0</v>
      </c>
      <c r="AC1061" s="3">
        <v>46.0</v>
      </c>
      <c r="AD1061" s="3">
        <v>53.0</v>
      </c>
      <c r="AE1061" s="3">
        <v>21.0</v>
      </c>
      <c r="AF1061" s="3">
        <v>45.0</v>
      </c>
      <c r="AG1061" s="3">
        <v>45.0</v>
      </c>
      <c r="AH1061" s="3">
        <v>35.44</v>
      </c>
      <c r="AI1061" s="3">
        <v>12.14</v>
      </c>
      <c r="AJ1061" s="3">
        <v>79.9</v>
      </c>
      <c r="AK1061" s="3">
        <v>47.9</v>
      </c>
      <c r="AL1061" s="3">
        <v>66.0</v>
      </c>
      <c r="AM1061" s="3">
        <v>25.0</v>
      </c>
      <c r="AN1061" s="3">
        <v>132.1</v>
      </c>
      <c r="AO1061" s="3">
        <v>28.96</v>
      </c>
      <c r="AP1061" s="3">
        <v>48.64</v>
      </c>
      <c r="AQ1061" s="3">
        <v>75.0</v>
      </c>
      <c r="AR1061" s="3">
        <v>90.22</v>
      </c>
      <c r="AS1061" s="3">
        <v>37.0</v>
      </c>
      <c r="AT1061" s="3">
        <v>49.31</v>
      </c>
    </row>
    <row r="1062" ht="15.75" customHeight="1">
      <c r="A1062" s="2" t="s">
        <v>115</v>
      </c>
      <c r="B1062" s="3">
        <v>295.0</v>
      </c>
      <c r="C1062" s="3">
        <v>153.74</v>
      </c>
    </row>
    <row r="1063" ht="15.75" customHeight="1">
      <c r="A1063" s="2" t="s">
        <v>105</v>
      </c>
      <c r="B1063" s="2">
        <v>1300.0</v>
      </c>
    </row>
    <row r="1064" ht="15.75" customHeight="1">
      <c r="A1064" s="2" t="s">
        <v>110</v>
      </c>
      <c r="B1064" s="2">
        <v>618.26</v>
      </c>
    </row>
    <row r="1065" ht="15.75" customHeight="1">
      <c r="A1065" s="2" t="s">
        <v>87</v>
      </c>
      <c r="B1065" s="32">
        <v>179.9</v>
      </c>
    </row>
    <row r="1066" ht="15.75" customHeight="1"/>
    <row r="1067" ht="15.75" customHeight="1"/>
    <row r="1068" ht="15.75" customHeight="1"/>
    <row r="1069" ht="15.75" customHeight="1"/>
    <row r="1070" ht="15.75" customHeight="1">
      <c r="A1070" s="1">
        <v>44896.0</v>
      </c>
    </row>
    <row r="1071" ht="15.75" customHeight="1">
      <c r="A1071" s="2" t="s">
        <v>46</v>
      </c>
      <c r="B1071" s="3">
        <v>505.93</v>
      </c>
      <c r="C1071" s="3">
        <v>1210.0</v>
      </c>
      <c r="D1071" s="3">
        <v>197.5</v>
      </c>
      <c r="E1071" s="3">
        <v>61.56</v>
      </c>
      <c r="F1071" s="3">
        <v>764.16</v>
      </c>
      <c r="G1071" s="3">
        <v>97.87</v>
      </c>
      <c r="H1071" s="3">
        <v>67.99</v>
      </c>
      <c r="I1071" s="3">
        <v>24.9</v>
      </c>
      <c r="J1071" s="3">
        <v>30.92</v>
      </c>
      <c r="K1071" s="3">
        <v>37.0</v>
      </c>
      <c r="L1071" s="3">
        <v>32.9</v>
      </c>
      <c r="M1071" s="3">
        <v>69.72</v>
      </c>
      <c r="N1071" s="3">
        <v>65.59</v>
      </c>
      <c r="O1071" s="3">
        <v>59.9</v>
      </c>
      <c r="P1071" s="3">
        <v>46.0</v>
      </c>
      <c r="Q1071" s="3">
        <v>16.0</v>
      </c>
      <c r="R1071" s="3">
        <v>41.0</v>
      </c>
      <c r="S1071" s="3">
        <v>110.7</v>
      </c>
      <c r="T1071" s="3">
        <v>123.51</v>
      </c>
      <c r="U1071" s="3">
        <v>62.19</v>
      </c>
      <c r="V1071" s="3">
        <v>35.0</v>
      </c>
      <c r="W1071" s="3">
        <v>49.54</v>
      </c>
      <c r="X1071" s="3">
        <v>71.52</v>
      </c>
      <c r="Y1071" s="3">
        <v>59.27</v>
      </c>
      <c r="Z1071" s="3">
        <v>94.49</v>
      </c>
      <c r="AA1071" s="3">
        <v>112.0</v>
      </c>
      <c r="AB1071" s="3">
        <v>160.0</v>
      </c>
      <c r="AC1071" s="3">
        <v>55.0</v>
      </c>
      <c r="AD1071" s="3">
        <v>98.09</v>
      </c>
      <c r="AE1071" s="3">
        <v>43.0</v>
      </c>
      <c r="AF1071" s="3">
        <v>58.75</v>
      </c>
    </row>
    <row r="1072" ht="15.75" customHeight="1">
      <c r="A1072" s="2" t="s">
        <v>115</v>
      </c>
      <c r="B1072" s="3">
        <v>295.0</v>
      </c>
      <c r="C1072" s="3">
        <v>153.74</v>
      </c>
    </row>
    <row r="1073" ht="15.75" customHeight="1">
      <c r="A1073" s="2" t="s">
        <v>105</v>
      </c>
      <c r="B1073" s="3">
        <v>1300.0</v>
      </c>
    </row>
    <row r="1074" ht="15.75" customHeight="1">
      <c r="A1074" s="2" t="s">
        <v>110</v>
      </c>
      <c r="B1074" s="3">
        <v>618.26</v>
      </c>
    </row>
    <row r="1075" ht="15.75" customHeight="1">
      <c r="A1075" s="2" t="s">
        <v>87</v>
      </c>
      <c r="B1075" s="3">
        <v>179.9</v>
      </c>
    </row>
    <row r="1076" ht="15.75" customHeight="1"/>
    <row r="1077" ht="15.75" customHeight="1"/>
    <row r="1078" ht="15.75" customHeight="1"/>
    <row r="1079" ht="15.75" customHeight="1"/>
    <row r="1080" ht="15.75" customHeight="1">
      <c r="A1080" s="1">
        <v>44927.0</v>
      </c>
    </row>
    <row r="1081" ht="15.75" customHeight="1">
      <c r="A1081" s="2" t="s">
        <v>46</v>
      </c>
      <c r="B1081" s="3">
        <v>1210.0</v>
      </c>
      <c r="C1081" s="3">
        <v>197.5</v>
      </c>
      <c r="D1081" s="3">
        <v>764.16</v>
      </c>
      <c r="E1081" s="3">
        <v>97.87</v>
      </c>
      <c r="F1081" s="3">
        <v>67.99</v>
      </c>
      <c r="G1081" s="3">
        <v>49.54</v>
      </c>
      <c r="H1081" s="3">
        <v>35.0</v>
      </c>
      <c r="I1081" s="3">
        <v>62.19</v>
      </c>
      <c r="J1081" s="3">
        <v>32.9</v>
      </c>
      <c r="K1081" s="3">
        <v>24.9</v>
      </c>
      <c r="L1081" s="3">
        <v>126.18</v>
      </c>
      <c r="M1081" s="3">
        <v>42.89</v>
      </c>
      <c r="N1081" s="3">
        <v>41.8</v>
      </c>
      <c r="O1081" s="3">
        <v>60.73</v>
      </c>
      <c r="P1081" s="3">
        <v>41.41</v>
      </c>
      <c r="Q1081" s="3">
        <v>36.0</v>
      </c>
      <c r="R1081" s="3">
        <v>36.0</v>
      </c>
      <c r="S1081" s="3">
        <v>33.0</v>
      </c>
      <c r="T1081" s="3">
        <v>31.92</v>
      </c>
      <c r="U1081" s="3">
        <v>56.85</v>
      </c>
      <c r="V1081" s="3">
        <v>42.0</v>
      </c>
      <c r="W1081" s="3">
        <v>54.99</v>
      </c>
      <c r="X1081" s="3">
        <v>6.0</v>
      </c>
      <c r="Y1081" s="3">
        <v>58.88</v>
      </c>
      <c r="Z1081" s="3">
        <v>10.95</v>
      </c>
      <c r="AA1081" s="3">
        <v>19.49</v>
      </c>
      <c r="AB1081" s="3">
        <v>74.1</v>
      </c>
      <c r="AC1081" s="3">
        <v>18.0</v>
      </c>
      <c r="AD1081" s="3">
        <v>161.0</v>
      </c>
      <c r="AE1081" s="3">
        <v>85.0</v>
      </c>
      <c r="AF1081" s="3">
        <v>154.0</v>
      </c>
      <c r="AG1081" s="3">
        <v>163.08</v>
      </c>
      <c r="AH1081" s="3">
        <v>13.0</v>
      </c>
      <c r="AI1081" s="3">
        <v>8.88</v>
      </c>
      <c r="AJ1081" s="3">
        <v>23.0</v>
      </c>
      <c r="AK1081" s="3">
        <v>28.57</v>
      </c>
      <c r="AL1081" s="3">
        <v>100.0</v>
      </c>
      <c r="AM1081" s="3">
        <v>50.0</v>
      </c>
      <c r="AN1081" s="3">
        <v>46.5</v>
      </c>
      <c r="AO1081" s="3">
        <v>31.0</v>
      </c>
      <c r="AP1081" s="3">
        <v>49.2</v>
      </c>
      <c r="AQ1081" s="3">
        <v>500.7</v>
      </c>
      <c r="AR1081" s="3">
        <v>8.0</v>
      </c>
      <c r="AS1081" s="3">
        <v>40.0</v>
      </c>
      <c r="AT1081" s="3">
        <v>40.0</v>
      </c>
      <c r="AU1081" s="3">
        <v>40.0</v>
      </c>
      <c r="AV1081" s="3">
        <v>20.0</v>
      </c>
      <c r="AW1081" s="3">
        <v>26.0</v>
      </c>
      <c r="AX1081" s="3">
        <v>8.0</v>
      </c>
      <c r="AY1081" s="3">
        <v>32.9</v>
      </c>
    </row>
    <row r="1082" ht="15.75" customHeight="1">
      <c r="A1082" s="2" t="s">
        <v>115</v>
      </c>
      <c r="B1082" s="3">
        <v>232.0</v>
      </c>
      <c r="C1082" s="3">
        <v>153.74</v>
      </c>
    </row>
    <row r="1083" ht="15.75" customHeight="1">
      <c r="A1083" s="2" t="s">
        <v>105</v>
      </c>
      <c r="B1083" s="3">
        <v>1300.0</v>
      </c>
    </row>
    <row r="1084" ht="15.75" customHeight="1">
      <c r="A1084" s="2" t="s">
        <v>110</v>
      </c>
      <c r="B1084" s="3">
        <v>618.26</v>
      </c>
    </row>
    <row r="1085" ht="15.75" customHeight="1">
      <c r="A1085" s="2" t="s">
        <v>87</v>
      </c>
      <c r="B1085" s="3">
        <v>179.9</v>
      </c>
    </row>
    <row r="1086" ht="15.75" customHeight="1"/>
    <row r="1087" ht="15.75" customHeight="1">
      <c r="A1087" s="2" t="s">
        <v>1</v>
      </c>
      <c r="B1087" s="2">
        <f>SUM(B1081:CN1086)</f>
        <v>7445.97</v>
      </c>
    </row>
    <row r="1088" ht="15.75" customHeight="1"/>
    <row r="1089" ht="15.75" customHeight="1">
      <c r="A1089" s="1">
        <v>44958.0</v>
      </c>
    </row>
    <row r="1090" ht="15.75" customHeight="1">
      <c r="A1090" s="2" t="s">
        <v>46</v>
      </c>
      <c r="B1090" s="3">
        <v>197.5</v>
      </c>
      <c r="C1090" s="3">
        <v>764.16</v>
      </c>
      <c r="D1090" s="3">
        <v>97.87</v>
      </c>
      <c r="E1090" s="3">
        <v>67.99</v>
      </c>
      <c r="F1090" s="3">
        <v>49.54</v>
      </c>
      <c r="G1090" s="3">
        <v>24.9</v>
      </c>
      <c r="H1090" s="3">
        <v>14.0</v>
      </c>
      <c r="I1090" s="3">
        <v>66.0</v>
      </c>
      <c r="J1090" s="3">
        <v>61.72</v>
      </c>
      <c r="K1090" s="3">
        <v>23.6</v>
      </c>
      <c r="L1090" s="3">
        <v>275.45</v>
      </c>
      <c r="M1090" s="3">
        <v>20.67</v>
      </c>
      <c r="N1090" s="3">
        <v>62.9</v>
      </c>
      <c r="O1090" s="3">
        <v>34.0</v>
      </c>
      <c r="P1090" s="3">
        <v>18.0</v>
      </c>
      <c r="Q1090" s="3">
        <v>5.0</v>
      </c>
      <c r="R1090" s="3">
        <v>11.0</v>
      </c>
      <c r="S1090" s="3">
        <v>25.94</v>
      </c>
      <c r="T1090" s="3">
        <v>135.0</v>
      </c>
      <c r="U1090" s="3">
        <v>108.75</v>
      </c>
      <c r="V1090" s="3">
        <v>66.0</v>
      </c>
      <c r="W1090" s="3">
        <v>25.0</v>
      </c>
      <c r="X1090" s="3">
        <v>32.4</v>
      </c>
      <c r="Y1090" s="3">
        <v>13.0</v>
      </c>
      <c r="Z1090" s="3">
        <v>13.0</v>
      </c>
      <c r="AA1090" s="3">
        <v>45.0</v>
      </c>
      <c r="AB1090" s="3">
        <v>4.95</v>
      </c>
      <c r="AC1090" s="3">
        <v>44.9</v>
      </c>
      <c r="AD1090" s="3">
        <v>40.0</v>
      </c>
      <c r="AE1090" s="3">
        <v>70.12</v>
      </c>
      <c r="AF1090" s="3">
        <v>21.75</v>
      </c>
      <c r="AG1090" s="3">
        <v>10.99</v>
      </c>
      <c r="AH1090" s="3">
        <v>32.9</v>
      </c>
      <c r="AI1090" s="3">
        <v>1830.7</v>
      </c>
    </row>
    <row r="1091" ht="15.75" customHeight="1">
      <c r="A1091" s="2" t="s">
        <v>115</v>
      </c>
      <c r="B1091" s="3">
        <v>310.0</v>
      </c>
      <c r="C1091" s="3">
        <v>153.74</v>
      </c>
    </row>
    <row r="1092" ht="15.75" customHeight="1">
      <c r="A1092" s="2" t="s">
        <v>105</v>
      </c>
      <c r="B1092" s="3">
        <v>1300.0</v>
      </c>
    </row>
    <row r="1093" ht="15.75" customHeight="1">
      <c r="A1093" s="2" t="s">
        <v>110</v>
      </c>
      <c r="B1093" s="3">
        <v>618.26</v>
      </c>
    </row>
    <row r="1094" ht="15.75" customHeight="1">
      <c r="A1094" s="2" t="s">
        <v>87</v>
      </c>
      <c r="B1094" s="3">
        <v>179.9</v>
      </c>
    </row>
    <row r="1095" ht="15.75" customHeight="1"/>
    <row r="1096" ht="15.75" customHeight="1">
      <c r="A1096" s="2" t="s">
        <v>1</v>
      </c>
      <c r="B1096" s="2">
        <f>SUM(B1090:CT1095)</f>
        <v>6876.6</v>
      </c>
    </row>
    <row r="1097" ht="15.75" customHeight="1"/>
    <row r="1098" ht="15.75" customHeight="1">
      <c r="A1098" s="1">
        <v>44986.0</v>
      </c>
    </row>
    <row r="1099" ht="15.75" customHeight="1">
      <c r="A1099" s="2" t="s">
        <v>46</v>
      </c>
      <c r="B1099" s="3">
        <v>1830.7</v>
      </c>
      <c r="C1099" s="3">
        <v>764.16</v>
      </c>
      <c r="D1099" s="3">
        <v>97.87</v>
      </c>
      <c r="E1099" s="3">
        <v>67.99</v>
      </c>
      <c r="F1099" s="3">
        <v>39.9</v>
      </c>
      <c r="G1099" s="3">
        <v>9.0</v>
      </c>
      <c r="H1099" s="3">
        <v>10.0</v>
      </c>
      <c r="I1099" s="3">
        <v>143.59</v>
      </c>
      <c r="J1099" s="3">
        <v>47.11</v>
      </c>
      <c r="K1099" s="3">
        <v>112.8</v>
      </c>
      <c r="L1099" s="3">
        <v>87.6</v>
      </c>
      <c r="M1099" s="3">
        <v>20.0</v>
      </c>
      <c r="N1099" s="3">
        <v>36.0</v>
      </c>
      <c r="O1099" s="3">
        <v>6.0</v>
      </c>
      <c r="P1099" s="3">
        <v>15.0</v>
      </c>
      <c r="Q1099" s="3">
        <v>10.95</v>
      </c>
      <c r="R1099" s="3">
        <v>12.85</v>
      </c>
      <c r="S1099" s="3">
        <v>160.1</v>
      </c>
      <c r="T1099" s="3">
        <v>59.16</v>
      </c>
      <c r="U1099" s="3">
        <v>126.0</v>
      </c>
      <c r="V1099" s="3">
        <v>126.76</v>
      </c>
      <c r="W1099" s="3">
        <v>83.8</v>
      </c>
      <c r="X1099" s="3">
        <v>30.0</v>
      </c>
      <c r="Y1099" s="3">
        <v>92.8</v>
      </c>
      <c r="Z1099" s="3">
        <v>50.0</v>
      </c>
      <c r="AA1099" s="3">
        <v>24.9</v>
      </c>
      <c r="AB1099" s="3">
        <v>32.9</v>
      </c>
    </row>
    <row r="1100" ht="15.75" customHeight="1">
      <c r="A1100" s="2" t="s">
        <v>115</v>
      </c>
      <c r="B1100" s="3">
        <v>310.0</v>
      </c>
    </row>
    <row r="1101" ht="15.75" customHeight="1">
      <c r="A1101" s="2" t="s">
        <v>105</v>
      </c>
      <c r="B1101" s="3">
        <v>1300.0</v>
      </c>
    </row>
    <row r="1102" ht="15.75" customHeight="1">
      <c r="A1102" s="2" t="s">
        <v>110</v>
      </c>
      <c r="B1102" s="3">
        <v>618.26</v>
      </c>
    </row>
    <row r="1103" ht="15.75" customHeight="1">
      <c r="A1103" s="2" t="s">
        <v>87</v>
      </c>
      <c r="B1103" s="3">
        <v>179.9</v>
      </c>
    </row>
    <row r="1104" ht="15.75" customHeight="1"/>
    <row r="1105" ht="15.75" customHeight="1"/>
    <row r="1106" ht="15.75" customHeight="1">
      <c r="A1106" s="2" t="s">
        <v>1</v>
      </c>
      <c r="B1106" s="2">
        <f>SUM(B1099:EP1105)</f>
        <v>6506.1</v>
      </c>
    </row>
    <row r="1107" ht="15.75" customHeight="1"/>
    <row r="1108" ht="15.75" customHeight="1">
      <c r="A1108" s="1">
        <v>45017.0</v>
      </c>
    </row>
    <row r="1109" ht="15.75" customHeight="1">
      <c r="A1109" s="2" t="s">
        <v>46</v>
      </c>
      <c r="B1109" s="3">
        <v>1830.7</v>
      </c>
      <c r="C1109" s="3">
        <v>24.9</v>
      </c>
      <c r="D1109" s="3">
        <v>67.99</v>
      </c>
      <c r="E1109" s="3">
        <v>16.0</v>
      </c>
      <c r="F1109" s="3">
        <v>16.0</v>
      </c>
      <c r="G1109" s="3">
        <v>25.0</v>
      </c>
      <c r="H1109" s="3">
        <v>10.0</v>
      </c>
      <c r="I1109" s="3">
        <v>46.0</v>
      </c>
      <c r="J1109" s="3">
        <v>52.0</v>
      </c>
      <c r="K1109" s="3">
        <v>179.71</v>
      </c>
      <c r="L1109" s="3">
        <v>100.0</v>
      </c>
      <c r="M1109" s="3">
        <v>30.0</v>
      </c>
      <c r="N1109" s="3">
        <v>27.0</v>
      </c>
      <c r="O1109" s="3">
        <v>26.0</v>
      </c>
      <c r="P1109" s="3">
        <v>315.0</v>
      </c>
      <c r="Q1109" s="3">
        <v>18.99</v>
      </c>
      <c r="R1109" s="3">
        <v>12.99</v>
      </c>
      <c r="S1109" s="3">
        <v>30.7</v>
      </c>
      <c r="T1109" s="3">
        <v>83.76</v>
      </c>
      <c r="U1109" s="3">
        <v>168.03</v>
      </c>
      <c r="V1109" s="3">
        <v>75.8</v>
      </c>
      <c r="W1109" s="3">
        <v>2.83</v>
      </c>
      <c r="X1109" s="3">
        <v>56.0</v>
      </c>
      <c r="Y1109" s="3">
        <v>44.89</v>
      </c>
      <c r="Z1109" s="3">
        <v>17.26</v>
      </c>
      <c r="AA1109" s="3">
        <v>35.71</v>
      </c>
      <c r="AB1109" s="3">
        <v>61.0</v>
      </c>
      <c r="AC1109" s="3">
        <v>17.08</v>
      </c>
      <c r="AD1109" s="3">
        <v>105.49</v>
      </c>
      <c r="AE1109" s="3">
        <v>36.4</v>
      </c>
      <c r="AF1109" s="3">
        <v>33.0</v>
      </c>
      <c r="AG1109" s="3">
        <v>8.92</v>
      </c>
      <c r="AH1109" s="3">
        <v>29.96</v>
      </c>
      <c r="AI1109" s="3">
        <v>13.96</v>
      </c>
      <c r="AJ1109" s="3">
        <v>59.9</v>
      </c>
      <c r="AK1109" s="3">
        <v>41.5</v>
      </c>
      <c r="AL1109" s="3">
        <v>35.18</v>
      </c>
      <c r="AM1109" s="3">
        <v>26.0</v>
      </c>
      <c r="AN1109" s="3">
        <v>100.0</v>
      </c>
      <c r="AO1109" s="3">
        <v>39.89</v>
      </c>
      <c r="AP1109" s="3">
        <v>23.5</v>
      </c>
      <c r="AQ1109" s="3">
        <v>132.7</v>
      </c>
      <c r="AR1109" s="3">
        <v>19.93</v>
      </c>
      <c r="AS1109" s="3">
        <v>17.53</v>
      </c>
      <c r="AT1109" s="3">
        <v>23.5</v>
      </c>
      <c r="AU1109" s="3">
        <v>132.7</v>
      </c>
      <c r="AV1109" s="3">
        <v>19.93</v>
      </c>
      <c r="AW1109" s="3">
        <v>17.53</v>
      </c>
      <c r="AX1109" s="3">
        <v>39.96</v>
      </c>
      <c r="AY1109" s="3">
        <v>35.9</v>
      </c>
      <c r="AZ1109" s="3">
        <v>52.0</v>
      </c>
      <c r="BA1109" s="3">
        <v>6.0</v>
      </c>
      <c r="BB1109" s="3">
        <v>39.96</v>
      </c>
      <c r="BC1109" s="3">
        <v>32.9</v>
      </c>
      <c r="BD1109" s="3">
        <v>764.16</v>
      </c>
    </row>
    <row r="1110" ht="15.75" customHeight="1">
      <c r="A1110" s="2" t="s">
        <v>115</v>
      </c>
      <c r="B1110" s="3">
        <v>310.0</v>
      </c>
    </row>
    <row r="1111" ht="15.75" customHeight="1">
      <c r="A1111" s="2" t="s">
        <v>105</v>
      </c>
      <c r="B1111" s="2">
        <v>1300.0</v>
      </c>
    </row>
    <row r="1112" ht="15.75" customHeight="1">
      <c r="A1112" s="2" t="s">
        <v>110</v>
      </c>
      <c r="B1112" s="2">
        <v>618.26</v>
      </c>
    </row>
    <row r="1113" ht="15.75" customHeight="1">
      <c r="A1113" s="2" t="s">
        <v>87</v>
      </c>
      <c r="B1113" s="32">
        <v>179.9</v>
      </c>
    </row>
    <row r="1114" ht="15.75" customHeight="1"/>
    <row r="1115" ht="15.75" customHeight="1"/>
    <row r="1116" ht="15.75" customHeight="1">
      <c r="A1116" s="2" t="s">
        <v>1</v>
      </c>
      <c r="B1116" s="2">
        <f>SUM(B1109:CY1115)</f>
        <v>7687.9</v>
      </c>
    </row>
    <row r="1117" ht="15.75" customHeight="1"/>
    <row r="1118" ht="15.75" customHeight="1">
      <c r="A1118" s="1">
        <v>45047.0</v>
      </c>
    </row>
    <row r="1119" ht="15.75" customHeight="1">
      <c r="A1119" s="2" t="s">
        <v>46</v>
      </c>
      <c r="B1119" s="3">
        <v>1830.7</v>
      </c>
      <c r="C1119" s="3">
        <v>132.7</v>
      </c>
      <c r="D1119" s="3">
        <v>67.99</v>
      </c>
      <c r="E1119" s="3">
        <v>764.16</v>
      </c>
      <c r="F1119" s="3">
        <v>24.9</v>
      </c>
      <c r="G1119" s="3">
        <v>62.86</v>
      </c>
      <c r="H1119" s="3">
        <v>22.64</v>
      </c>
    </row>
    <row r="1120" ht="15.75" customHeight="1">
      <c r="A1120" s="2" t="s">
        <v>115</v>
      </c>
      <c r="B1120" s="3">
        <v>310.0</v>
      </c>
    </row>
    <row r="1121" ht="15.75" customHeight="1">
      <c r="A1121" s="2" t="s">
        <v>105</v>
      </c>
      <c r="B1121" s="3">
        <v>1300.0</v>
      </c>
    </row>
    <row r="1122" ht="15.75" customHeight="1">
      <c r="A1122" s="2" t="s">
        <v>110</v>
      </c>
      <c r="B1122" s="3">
        <v>618.26</v>
      </c>
    </row>
    <row r="1123" ht="15.75" customHeight="1">
      <c r="A1123" s="2" t="s">
        <v>87</v>
      </c>
      <c r="B1123" s="3">
        <v>179.9</v>
      </c>
    </row>
    <row r="1124" ht="15.75" customHeight="1"/>
    <row r="1125" ht="15.75" customHeight="1">
      <c r="A1125" s="2" t="s">
        <v>1</v>
      </c>
      <c r="B1125" s="2">
        <f>SUM(B1119:ET1124)</f>
        <v>5314.11</v>
      </c>
    </row>
    <row r="1126" ht="15.75" customHeight="1"/>
    <row r="1127" ht="15.75" customHeight="1">
      <c r="A1127" s="1">
        <v>45078.0</v>
      </c>
    </row>
    <row r="1128" ht="15.75" customHeight="1">
      <c r="A1128" s="2" t="s">
        <v>46</v>
      </c>
      <c r="B1128" s="3">
        <v>1830.7</v>
      </c>
      <c r="C1128" s="3">
        <v>132.7</v>
      </c>
      <c r="D1128" s="3">
        <v>67.99</v>
      </c>
      <c r="E1128" s="3">
        <v>24.9</v>
      </c>
      <c r="F1128" s="3">
        <v>764.16</v>
      </c>
      <c r="G1128" s="3">
        <v>22.65</v>
      </c>
      <c r="H1128" s="3">
        <v>62.86</v>
      </c>
      <c r="I1128" s="3">
        <v>4.15</v>
      </c>
      <c r="J1128" s="3">
        <v>32.9</v>
      </c>
    </row>
    <row r="1129" ht="15.75" customHeight="1">
      <c r="A1129" s="2" t="s">
        <v>115</v>
      </c>
    </row>
    <row r="1130" ht="15.75" customHeight="1">
      <c r="A1130" s="2" t="s">
        <v>119</v>
      </c>
    </row>
    <row r="1131" ht="15.75" customHeight="1">
      <c r="A1131" s="2" t="s">
        <v>105</v>
      </c>
      <c r="B1131" s="3">
        <v>1300.0</v>
      </c>
    </row>
    <row r="1132" ht="15.75" customHeight="1">
      <c r="A1132" s="2" t="s">
        <v>110</v>
      </c>
      <c r="B1132" s="3">
        <v>618.26</v>
      </c>
    </row>
    <row r="1133" ht="15.75" customHeight="1">
      <c r="A1133" s="2" t="s">
        <v>87</v>
      </c>
      <c r="B1133" s="3">
        <v>179.9</v>
      </c>
    </row>
    <row r="1134" ht="15.75" customHeight="1">
      <c r="B1134" s="3"/>
    </row>
    <row r="1135" ht="15.75" customHeight="1">
      <c r="A1135" s="2" t="s">
        <v>1</v>
      </c>
      <c r="B1135" s="3">
        <f>SUM(B1128:GZ1134)</f>
        <v>5041.17</v>
      </c>
    </row>
    <row r="1136" ht="15.75" customHeight="1"/>
    <row r="1137" ht="15.75" customHeight="1">
      <c r="A1137" s="1">
        <v>45078.0</v>
      </c>
    </row>
    <row r="1138" ht="15.75" customHeight="1">
      <c r="A1138" s="2" t="s">
        <v>46</v>
      </c>
      <c r="B1138" s="3">
        <v>1830.7</v>
      </c>
      <c r="C1138" s="3">
        <v>132.7</v>
      </c>
      <c r="D1138" s="3">
        <v>67.99</v>
      </c>
      <c r="E1138" s="3">
        <v>24.9</v>
      </c>
      <c r="F1138" s="3">
        <v>14.65</v>
      </c>
      <c r="G1138" s="3">
        <v>31.0</v>
      </c>
      <c r="H1138" s="3">
        <v>94.2</v>
      </c>
      <c r="I1138" s="3">
        <v>40.9</v>
      </c>
      <c r="J1138" s="3"/>
    </row>
    <row r="1139" ht="15.75" customHeight="1">
      <c r="A1139" s="2" t="s">
        <v>115</v>
      </c>
    </row>
    <row r="1140" ht="15.75" customHeight="1">
      <c r="A1140" s="2" t="s">
        <v>119</v>
      </c>
    </row>
    <row r="1141" ht="15.75" customHeight="1">
      <c r="A1141" s="2" t="s">
        <v>105</v>
      </c>
      <c r="B1141" s="3">
        <v>1300.0</v>
      </c>
    </row>
    <row r="1142" ht="15.75" customHeight="1">
      <c r="A1142" s="2" t="s">
        <v>110</v>
      </c>
      <c r="B1142" s="3">
        <v>618.26</v>
      </c>
    </row>
    <row r="1143" ht="15.75" customHeight="1">
      <c r="A1143" s="2" t="s">
        <v>87</v>
      </c>
      <c r="B1143" s="3">
        <v>179.9</v>
      </c>
    </row>
    <row r="1144" ht="15.75" customHeight="1">
      <c r="B1144" s="3"/>
    </row>
    <row r="1145" ht="15.75" customHeight="1">
      <c r="A1145" s="2" t="s">
        <v>1</v>
      </c>
      <c r="B1145" s="3">
        <f>SUM(B1138:GZ1144)</f>
        <v>4335.2</v>
      </c>
    </row>
    <row r="1146" ht="15.75" customHeight="1">
      <c r="A1146" s="1">
        <v>45108.0</v>
      </c>
      <c r="B1146" s="3"/>
    </row>
    <row r="1147" ht="15.75" customHeight="1">
      <c r="A1147" s="2" t="s">
        <v>46</v>
      </c>
      <c r="B1147" s="3">
        <v>1830.7</v>
      </c>
      <c r="C1147" s="3">
        <v>132.7</v>
      </c>
      <c r="D1147" s="3">
        <v>67.99</v>
      </c>
      <c r="E1147" s="3">
        <v>101.0</v>
      </c>
      <c r="F1147" s="3">
        <v>63.0</v>
      </c>
      <c r="G1147" s="3">
        <v>18.99</v>
      </c>
      <c r="H1147" s="3">
        <v>59.8</v>
      </c>
      <c r="I1147" s="3">
        <v>24.9</v>
      </c>
    </row>
    <row r="1148" ht="15.75" customHeight="1">
      <c r="A1148" s="2" t="s">
        <v>115</v>
      </c>
      <c r="B1148" s="3"/>
    </row>
    <row r="1149" ht="15.75" customHeight="1">
      <c r="A1149" s="2" t="s">
        <v>105</v>
      </c>
      <c r="B1149" s="3">
        <v>1300.0</v>
      </c>
    </row>
    <row r="1150" ht="15.75" customHeight="1">
      <c r="A1150" s="2" t="s">
        <v>110</v>
      </c>
      <c r="B1150" s="3">
        <v>618.26</v>
      </c>
    </row>
    <row r="1151" ht="15.75" customHeight="1">
      <c r="A1151" s="2" t="s">
        <v>87</v>
      </c>
      <c r="B1151" s="3">
        <v>179.9</v>
      </c>
    </row>
    <row r="1152" ht="15.75" customHeight="1"/>
    <row r="1153" ht="15.75" customHeight="1">
      <c r="A1153" s="2" t="s">
        <v>1</v>
      </c>
      <c r="B1153" s="2">
        <f>SUM(B1147:ER1152)</f>
        <v>4397.24</v>
      </c>
    </row>
    <row r="1154" ht="15.75" customHeight="1"/>
    <row r="1155" ht="15.75" customHeight="1">
      <c r="A1155" s="1">
        <v>45139.0</v>
      </c>
    </row>
    <row r="1156" ht="15.75" customHeight="1">
      <c r="A1156" s="2" t="s">
        <v>120</v>
      </c>
      <c r="B1156" s="3">
        <v>1830.7</v>
      </c>
      <c r="C1156" s="3">
        <v>132.7</v>
      </c>
      <c r="D1156" s="3">
        <v>67.99</v>
      </c>
      <c r="E1156" s="3">
        <v>82.79</v>
      </c>
      <c r="F1156" s="3">
        <v>9.58</v>
      </c>
      <c r="G1156" s="3">
        <v>25.3</v>
      </c>
      <c r="H1156" s="3">
        <v>24.9</v>
      </c>
    </row>
    <row r="1157" ht="15.75" customHeight="1">
      <c r="A1157" s="2" t="s">
        <v>115</v>
      </c>
    </row>
    <row r="1158" ht="15.75" customHeight="1">
      <c r="A1158" s="2" t="s">
        <v>105</v>
      </c>
      <c r="B1158" s="16">
        <v>1300.0</v>
      </c>
    </row>
    <row r="1159" ht="15.75" customHeight="1">
      <c r="A1159" s="2" t="s">
        <v>110</v>
      </c>
      <c r="B1159" s="16">
        <v>618.26</v>
      </c>
    </row>
    <row r="1160" ht="15.75" customHeight="1">
      <c r="A1160" s="2" t="s">
        <v>87</v>
      </c>
      <c r="B1160" s="3">
        <v>179.9</v>
      </c>
    </row>
    <row r="1161" ht="15.75" customHeight="1"/>
    <row r="1162" ht="15.75" customHeight="1"/>
    <row r="1163" ht="15.75" customHeight="1">
      <c r="A1163" s="2" t="s">
        <v>1</v>
      </c>
      <c r="B1163" s="2">
        <f>SUM(B1156:EP1162)</f>
        <v>4272.12</v>
      </c>
    </row>
    <row r="1164" ht="15.75" customHeight="1"/>
    <row r="1165" ht="15.75" customHeight="1">
      <c r="A1165" s="1">
        <v>45170.0</v>
      </c>
    </row>
    <row r="1166" ht="15.75" customHeight="1">
      <c r="A1166" s="19" t="s">
        <v>47</v>
      </c>
      <c r="B1166" s="16">
        <v>1830.7</v>
      </c>
      <c r="C1166" s="16">
        <v>132.7</v>
      </c>
      <c r="D1166" s="15">
        <v>90.8</v>
      </c>
      <c r="E1166" s="15">
        <v>45.46</v>
      </c>
    </row>
    <row r="1167" ht="15.75" customHeight="1">
      <c r="A1167" s="2" t="s">
        <v>115</v>
      </c>
    </row>
    <row r="1168" ht="15.75" customHeight="1">
      <c r="A1168" s="2" t="s">
        <v>105</v>
      </c>
      <c r="B1168" s="16">
        <v>1300.0</v>
      </c>
    </row>
    <row r="1169" ht="15.75" customHeight="1">
      <c r="A1169" s="2" t="s">
        <v>110</v>
      </c>
      <c r="B1169" s="16">
        <v>618.26</v>
      </c>
    </row>
    <row r="1170" ht="15.75" customHeight="1">
      <c r="A1170" s="2" t="s">
        <v>87</v>
      </c>
      <c r="B1170" s="3">
        <v>179.9</v>
      </c>
    </row>
    <row r="1171" ht="15.75" customHeight="1"/>
    <row r="1172" ht="15.75" customHeight="1"/>
    <row r="1173" ht="15.75" customHeight="1">
      <c r="A1173" s="2" t="s">
        <v>1</v>
      </c>
      <c r="B1173" s="2">
        <f>SUM(B1166:EP1172)</f>
        <v>4197.82</v>
      </c>
    </row>
    <row r="1174" ht="15.75" customHeight="1"/>
    <row r="1175" ht="15.75" customHeight="1">
      <c r="A1175" s="1">
        <v>45200.0</v>
      </c>
    </row>
    <row r="1176" ht="15.75" customHeight="1">
      <c r="A1176" s="19" t="s">
        <v>47</v>
      </c>
      <c r="B1176" s="16">
        <v>1830.7</v>
      </c>
    </row>
    <row r="1177" ht="15.75" customHeight="1">
      <c r="A1177" s="2" t="s">
        <v>115</v>
      </c>
    </row>
    <row r="1178" ht="15.75" customHeight="1">
      <c r="A1178" s="2" t="s">
        <v>105</v>
      </c>
      <c r="B1178" s="16">
        <v>1300.0</v>
      </c>
    </row>
    <row r="1179" ht="15.75" customHeight="1">
      <c r="A1179" s="2" t="s">
        <v>110</v>
      </c>
      <c r="B1179" s="16">
        <v>618.26</v>
      </c>
    </row>
    <row r="1180" ht="15.75" customHeight="1">
      <c r="A1180" s="2" t="s">
        <v>87</v>
      </c>
      <c r="B1180" s="3">
        <v>179.9</v>
      </c>
    </row>
    <row r="1181" ht="15.75" customHeight="1"/>
    <row r="1182" ht="15.75" customHeight="1"/>
    <row r="1183" ht="15.75" customHeight="1">
      <c r="A1183" s="2" t="s">
        <v>1</v>
      </c>
      <c r="B1183" s="2">
        <f>SUM(B1176:CE1182)</f>
        <v>3928.86</v>
      </c>
    </row>
    <row r="1184" ht="15.75" customHeight="1"/>
    <row r="1185" ht="15.75" customHeight="1">
      <c r="A1185" s="1">
        <v>45231.0</v>
      </c>
    </row>
    <row r="1186" ht="15.75" customHeight="1">
      <c r="A1186" s="19" t="s">
        <v>47</v>
      </c>
      <c r="B1186" s="16">
        <v>1830.7</v>
      </c>
    </row>
    <row r="1187" ht="15.75" customHeight="1">
      <c r="A1187" s="2" t="s">
        <v>115</v>
      </c>
    </row>
    <row r="1188" ht="15.75" customHeight="1">
      <c r="A1188" s="2" t="s">
        <v>105</v>
      </c>
      <c r="B1188" s="16">
        <v>1300.0</v>
      </c>
    </row>
    <row r="1189" ht="15.75" customHeight="1">
      <c r="A1189" s="2" t="s">
        <v>110</v>
      </c>
      <c r="B1189" s="16">
        <v>618.26</v>
      </c>
    </row>
    <row r="1190" ht="15.75" customHeight="1">
      <c r="A1190" s="2" t="s">
        <v>87</v>
      </c>
      <c r="B1190" s="3">
        <v>179.9</v>
      </c>
    </row>
    <row r="1191" ht="15.75" customHeight="1"/>
    <row r="1192" ht="15.75" customHeight="1"/>
    <row r="1193" ht="15.75" customHeight="1">
      <c r="A1193" s="2" t="s">
        <v>1</v>
      </c>
      <c r="B1193" s="2">
        <f>SUM(B1186:JV1192)</f>
        <v>3928.86</v>
      </c>
    </row>
    <row r="1194" ht="15.75" customHeight="1"/>
    <row r="1195" ht="15.75" customHeight="1">
      <c r="A1195" s="1">
        <v>45261.0</v>
      </c>
    </row>
    <row r="1196" ht="15.75" customHeight="1">
      <c r="A1196" s="19" t="s">
        <v>47</v>
      </c>
      <c r="B1196" s="15">
        <v>77.89</v>
      </c>
    </row>
    <row r="1197" ht="15.75" customHeight="1">
      <c r="A1197" s="2" t="s">
        <v>115</v>
      </c>
    </row>
    <row r="1198" ht="15.75" customHeight="1">
      <c r="A1198" s="2" t="s">
        <v>105</v>
      </c>
      <c r="B1198" s="2">
        <v>1300.0</v>
      </c>
    </row>
    <row r="1199" ht="15.75" customHeight="1">
      <c r="A1199" s="2" t="s">
        <v>110</v>
      </c>
      <c r="B1199" s="2">
        <v>618.26</v>
      </c>
    </row>
    <row r="1200" ht="15.75" customHeight="1">
      <c r="A1200" s="2" t="s">
        <v>87</v>
      </c>
      <c r="B1200" s="32">
        <v>179.9</v>
      </c>
    </row>
    <row r="1201" ht="15.75" customHeight="1"/>
    <row r="1202" ht="15.75" customHeight="1"/>
    <row r="1203" ht="15.75" customHeight="1">
      <c r="A1203" s="2" t="s">
        <v>1</v>
      </c>
      <c r="B1203" s="2">
        <f>SUM(B1196:HT1202)</f>
        <v>2176.05</v>
      </c>
    </row>
    <row r="1204" ht="15.75" customHeight="1"/>
    <row r="1205" ht="15.75" customHeight="1">
      <c r="A1205" s="34">
        <v>45292.0</v>
      </c>
      <c r="B1205" s="35"/>
    </row>
    <row r="1206" ht="15.75" customHeight="1">
      <c r="A1206" s="35" t="s">
        <v>47</v>
      </c>
      <c r="B1206" s="36"/>
    </row>
    <row r="1207" ht="15.75" customHeight="1">
      <c r="A1207" s="35" t="s">
        <v>115</v>
      </c>
      <c r="B1207" s="35"/>
    </row>
    <row r="1208" ht="15.75" customHeight="1">
      <c r="A1208" s="35" t="s">
        <v>105</v>
      </c>
      <c r="B1208" s="37">
        <v>1300.0</v>
      </c>
    </row>
    <row r="1209" ht="15.75" customHeight="1">
      <c r="A1209" s="35" t="s">
        <v>110</v>
      </c>
      <c r="B1209" s="37">
        <v>618.26</v>
      </c>
    </row>
    <row r="1210" ht="15.75" customHeight="1">
      <c r="A1210" s="35" t="s">
        <v>87</v>
      </c>
      <c r="B1210" s="37">
        <v>179.9</v>
      </c>
    </row>
    <row r="1211" ht="15.75" customHeight="1">
      <c r="A1211" s="35"/>
      <c r="B1211" s="35"/>
    </row>
    <row r="1212" ht="15.75" customHeight="1">
      <c r="A1212" s="35"/>
      <c r="B1212" s="35"/>
    </row>
    <row r="1213" ht="15.75" customHeight="1">
      <c r="A1213" s="35" t="s">
        <v>1</v>
      </c>
      <c r="B1213" s="37">
        <f>SUM(B1206:HT1212)</f>
        <v>2098.16</v>
      </c>
    </row>
    <row r="1214" ht="15.75" customHeight="1"/>
    <row r="1215" ht="15.75" customHeight="1">
      <c r="A1215" s="34">
        <v>45323.0</v>
      </c>
      <c r="B1215" s="35"/>
    </row>
    <row r="1216" ht="15.75" customHeight="1">
      <c r="A1216" s="35" t="s">
        <v>47</v>
      </c>
      <c r="B1216" s="36"/>
    </row>
    <row r="1217" ht="15.75" customHeight="1">
      <c r="A1217" s="35" t="s">
        <v>115</v>
      </c>
      <c r="B1217" s="35"/>
    </row>
    <row r="1218" ht="15.75" customHeight="1">
      <c r="A1218" s="35" t="s">
        <v>105</v>
      </c>
      <c r="B1218" s="37">
        <v>1300.0</v>
      </c>
    </row>
    <row r="1219" ht="15.75" customHeight="1">
      <c r="A1219" s="35" t="s">
        <v>110</v>
      </c>
      <c r="B1219" s="37">
        <v>618.26</v>
      </c>
    </row>
    <row r="1220" ht="15.75" customHeight="1">
      <c r="A1220" s="35" t="s">
        <v>87</v>
      </c>
      <c r="B1220" s="37">
        <v>179.9</v>
      </c>
    </row>
    <row r="1221" ht="15.75" customHeight="1">
      <c r="A1221" s="35"/>
      <c r="B1221" s="35"/>
    </row>
    <row r="1222" ht="15.75" customHeight="1">
      <c r="A1222" s="35"/>
      <c r="B1222" s="35"/>
    </row>
    <row r="1223" ht="15.75" customHeight="1">
      <c r="A1223" s="35" t="s">
        <v>1</v>
      </c>
      <c r="B1223" s="37">
        <f>SUM(B1216:HT1222)</f>
        <v>2098.16</v>
      </c>
    </row>
    <row r="1224" ht="15.75" customHeight="1"/>
    <row r="1225" ht="15.75" customHeight="1">
      <c r="A1225" s="34">
        <v>45352.0</v>
      </c>
      <c r="B1225" s="35"/>
    </row>
    <row r="1226" ht="15.75" customHeight="1">
      <c r="A1226" s="35" t="s">
        <v>47</v>
      </c>
      <c r="B1226" s="36"/>
    </row>
    <row r="1227" ht="15.75" customHeight="1">
      <c r="A1227" s="35" t="s">
        <v>115</v>
      </c>
      <c r="B1227" s="35"/>
    </row>
    <row r="1228" ht="15.75" customHeight="1">
      <c r="A1228" s="35" t="s">
        <v>105</v>
      </c>
      <c r="B1228" s="37">
        <v>1300.0</v>
      </c>
    </row>
    <row r="1229" ht="15.75" customHeight="1">
      <c r="A1229" s="35" t="s">
        <v>110</v>
      </c>
      <c r="B1229" s="37">
        <v>618.26</v>
      </c>
    </row>
    <row r="1230" ht="15.75" customHeight="1">
      <c r="A1230" s="35" t="s">
        <v>87</v>
      </c>
      <c r="B1230" s="37">
        <v>179.9</v>
      </c>
    </row>
    <row r="1231" ht="15.75" customHeight="1">
      <c r="A1231" s="35"/>
      <c r="B1231" s="35"/>
    </row>
    <row r="1232" ht="15.75" customHeight="1">
      <c r="A1232" s="35"/>
      <c r="B1232" s="35"/>
    </row>
    <row r="1233" ht="15.75" customHeight="1">
      <c r="A1233" s="35" t="s">
        <v>1</v>
      </c>
      <c r="B1233" s="37">
        <f>SUM(B1226:HT1232)</f>
        <v>2098.16</v>
      </c>
    </row>
    <row r="1234" ht="15.75" customHeight="1"/>
    <row r="1235" ht="15.75" customHeight="1">
      <c r="A1235" s="34">
        <v>45383.0</v>
      </c>
      <c r="B1235" s="35"/>
    </row>
    <row r="1236" ht="15.75" customHeight="1">
      <c r="A1236" s="35" t="s">
        <v>47</v>
      </c>
      <c r="B1236" s="36"/>
    </row>
    <row r="1237" ht="15.75" customHeight="1">
      <c r="A1237" s="35" t="s">
        <v>115</v>
      </c>
      <c r="B1237" s="35"/>
    </row>
    <row r="1238" ht="15.75" customHeight="1">
      <c r="A1238" s="35" t="s">
        <v>105</v>
      </c>
      <c r="B1238" s="37">
        <v>1300.0</v>
      </c>
    </row>
    <row r="1239" ht="15.75" customHeight="1">
      <c r="A1239" s="35" t="s">
        <v>110</v>
      </c>
      <c r="B1239" s="37">
        <v>618.26</v>
      </c>
    </row>
    <row r="1240" ht="15.75" customHeight="1">
      <c r="A1240" s="35" t="s">
        <v>87</v>
      </c>
      <c r="B1240" s="37">
        <v>179.9</v>
      </c>
    </row>
    <row r="1241" ht="15.75" customHeight="1">
      <c r="A1241" s="35"/>
      <c r="B1241" s="35"/>
    </row>
    <row r="1242" ht="15.75" customHeight="1">
      <c r="A1242" s="35"/>
      <c r="B1242" s="35"/>
    </row>
    <row r="1243" ht="15.75" customHeight="1">
      <c r="A1243" s="35" t="s">
        <v>1</v>
      </c>
      <c r="B1243" s="37">
        <f>SUM(B1236:HT1242)</f>
        <v>2098.16</v>
      </c>
    </row>
    <row r="1244" ht="15.75" customHeight="1"/>
    <row r="1245" ht="15.75" customHeight="1">
      <c r="A1245" s="34">
        <v>45413.0</v>
      </c>
      <c r="B1245" s="35"/>
    </row>
    <row r="1246" ht="15.75" customHeight="1">
      <c r="A1246" s="35" t="s">
        <v>47</v>
      </c>
      <c r="B1246" s="36"/>
    </row>
    <row r="1247" ht="15.75" customHeight="1">
      <c r="A1247" s="35" t="s">
        <v>115</v>
      </c>
      <c r="B1247" s="35"/>
    </row>
    <row r="1248" ht="15.75" customHeight="1">
      <c r="A1248" s="35" t="s">
        <v>105</v>
      </c>
      <c r="B1248" s="37">
        <v>1300.0</v>
      </c>
    </row>
    <row r="1249" ht="15.75" customHeight="1">
      <c r="A1249" s="35" t="s">
        <v>110</v>
      </c>
      <c r="B1249" s="37">
        <v>618.26</v>
      </c>
    </row>
    <row r="1250" ht="15.75" customHeight="1">
      <c r="A1250" s="35" t="s">
        <v>87</v>
      </c>
      <c r="B1250" s="37">
        <v>179.9</v>
      </c>
    </row>
    <row r="1251" ht="15.75" customHeight="1">
      <c r="A1251" s="35"/>
      <c r="B1251" s="35"/>
    </row>
    <row r="1252" ht="15.75" customHeight="1">
      <c r="A1252" s="35"/>
      <c r="B1252" s="35"/>
    </row>
    <row r="1253" ht="15.75" customHeight="1">
      <c r="A1253" s="35" t="s">
        <v>1</v>
      </c>
      <c r="B1253" s="37">
        <f>SUM(B1246:HT1252)</f>
        <v>2098.16</v>
      </c>
    </row>
    <row r="1254" ht="15.75" customHeight="1"/>
    <row r="1255" ht="15.75" customHeight="1">
      <c r="A1255" s="34">
        <v>45444.0</v>
      </c>
      <c r="B1255" s="35"/>
    </row>
    <row r="1256" ht="15.75" customHeight="1">
      <c r="A1256" s="35" t="s">
        <v>47</v>
      </c>
      <c r="B1256" s="36"/>
    </row>
    <row r="1257" ht="15.75" customHeight="1">
      <c r="A1257" s="35" t="s">
        <v>115</v>
      </c>
      <c r="B1257" s="35"/>
    </row>
    <row r="1258" ht="15.75" customHeight="1">
      <c r="A1258" s="35" t="s">
        <v>105</v>
      </c>
      <c r="B1258" s="37">
        <v>1300.0</v>
      </c>
    </row>
    <row r="1259" ht="15.75" customHeight="1">
      <c r="A1259" s="35" t="s">
        <v>110</v>
      </c>
      <c r="B1259" s="37">
        <v>618.26</v>
      </c>
    </row>
    <row r="1260" ht="15.75" customHeight="1">
      <c r="A1260" s="35" t="s">
        <v>87</v>
      </c>
      <c r="B1260" s="37">
        <v>179.9</v>
      </c>
    </row>
    <row r="1261" ht="15.75" customHeight="1">
      <c r="A1261" s="35"/>
      <c r="B1261" s="35"/>
    </row>
    <row r="1262" ht="15.75" customHeight="1">
      <c r="A1262" s="35"/>
      <c r="B1262" s="35"/>
    </row>
    <row r="1263" ht="15.75" customHeight="1">
      <c r="A1263" s="35" t="s">
        <v>1</v>
      </c>
      <c r="B1263" s="37">
        <f>SUM(B1256:HT1262)</f>
        <v>2098.16</v>
      </c>
    </row>
    <row r="1264" ht="15.75" customHeight="1"/>
    <row r="1265" ht="15.75" customHeight="1">
      <c r="A1265" s="34">
        <v>45474.0</v>
      </c>
      <c r="B1265" s="35"/>
    </row>
    <row r="1266" ht="15.75" customHeight="1">
      <c r="A1266" s="35" t="s">
        <v>47</v>
      </c>
      <c r="B1266" s="36"/>
    </row>
    <row r="1267" ht="15.75" customHeight="1">
      <c r="A1267" s="35" t="s">
        <v>115</v>
      </c>
      <c r="B1267" s="35"/>
    </row>
    <row r="1268" ht="15.75" customHeight="1">
      <c r="A1268" s="35" t="s">
        <v>105</v>
      </c>
      <c r="B1268" s="37">
        <v>1300.0</v>
      </c>
    </row>
    <row r="1269" ht="15.75" customHeight="1">
      <c r="A1269" s="35" t="s">
        <v>110</v>
      </c>
      <c r="B1269" s="37">
        <v>618.26</v>
      </c>
    </row>
    <row r="1270" ht="15.75" customHeight="1">
      <c r="A1270" s="35" t="s">
        <v>87</v>
      </c>
      <c r="B1270" s="37">
        <v>179.9</v>
      </c>
    </row>
    <row r="1271" ht="15.75" customHeight="1">
      <c r="A1271" s="35"/>
      <c r="B1271" s="35"/>
    </row>
    <row r="1272" ht="15.75" customHeight="1">
      <c r="A1272" s="35"/>
      <c r="B1272" s="35"/>
    </row>
    <row r="1273" ht="15.75" customHeight="1">
      <c r="A1273" s="35" t="s">
        <v>1</v>
      </c>
      <c r="B1273" s="37">
        <f>SUM(B1266:HT1272)</f>
        <v>2098.16</v>
      </c>
    </row>
    <row r="1274" ht="15.75" customHeight="1"/>
    <row r="1275" ht="15.75" customHeight="1">
      <c r="A1275" s="34">
        <v>45505.0</v>
      </c>
      <c r="B1275" s="35"/>
    </row>
    <row r="1276" ht="15.75" customHeight="1">
      <c r="A1276" s="35" t="s">
        <v>47</v>
      </c>
      <c r="B1276" s="36"/>
    </row>
    <row r="1277" ht="15.75" customHeight="1">
      <c r="A1277" s="35" t="s">
        <v>115</v>
      </c>
      <c r="B1277" s="35"/>
    </row>
    <row r="1278" ht="15.75" customHeight="1">
      <c r="A1278" s="35" t="s">
        <v>105</v>
      </c>
      <c r="B1278" s="37">
        <v>1300.0</v>
      </c>
    </row>
    <row r="1279" ht="15.75" customHeight="1">
      <c r="A1279" s="35" t="s">
        <v>110</v>
      </c>
      <c r="B1279" s="37">
        <v>618.26</v>
      </c>
    </row>
    <row r="1280" ht="15.75" customHeight="1">
      <c r="A1280" s="35" t="s">
        <v>87</v>
      </c>
      <c r="B1280" s="37">
        <v>179.9</v>
      </c>
    </row>
    <row r="1281" ht="15.75" customHeight="1">
      <c r="A1281" s="35"/>
      <c r="B1281" s="35"/>
    </row>
    <row r="1282" ht="15.75" customHeight="1">
      <c r="A1282" s="35"/>
      <c r="B1282" s="35"/>
    </row>
    <row r="1283" ht="15.75" customHeight="1">
      <c r="A1283" s="35" t="s">
        <v>1</v>
      </c>
      <c r="B1283" s="37">
        <f>SUM(B1276:HT1282)</f>
        <v>2098.16</v>
      </c>
    </row>
    <row r="1284" ht="15.75" customHeight="1"/>
    <row r="1285" ht="15.75" customHeight="1">
      <c r="A1285" s="34">
        <v>45536.0</v>
      </c>
      <c r="B1285" s="35"/>
    </row>
    <row r="1286" ht="15.75" customHeight="1">
      <c r="A1286" s="35" t="s">
        <v>47</v>
      </c>
      <c r="B1286" s="36"/>
    </row>
    <row r="1287" ht="15.75" customHeight="1">
      <c r="A1287" s="35" t="s">
        <v>115</v>
      </c>
      <c r="B1287" s="35"/>
    </row>
    <row r="1288" ht="15.75" customHeight="1">
      <c r="A1288" s="35" t="s">
        <v>105</v>
      </c>
      <c r="B1288" s="37">
        <v>1300.0</v>
      </c>
    </row>
    <row r="1289" ht="15.75" customHeight="1">
      <c r="A1289" s="35" t="s">
        <v>110</v>
      </c>
      <c r="B1289" s="37">
        <v>618.26</v>
      </c>
    </row>
    <row r="1290" ht="15.75" customHeight="1">
      <c r="A1290" s="35" t="s">
        <v>87</v>
      </c>
      <c r="B1290" s="37">
        <v>179.9</v>
      </c>
    </row>
    <row r="1291" ht="15.75" customHeight="1">
      <c r="A1291" s="35"/>
      <c r="B1291" s="35"/>
    </row>
    <row r="1292" ht="15.75" customHeight="1">
      <c r="A1292" s="35"/>
      <c r="B1292" s="35"/>
    </row>
    <row r="1293" ht="15.75" customHeight="1">
      <c r="A1293" s="35" t="s">
        <v>1</v>
      </c>
      <c r="B1293" s="37">
        <f>SUM(B1286:HT1292)</f>
        <v>2098.16</v>
      </c>
    </row>
    <row r="1294" ht="15.75" customHeight="1"/>
    <row r="1295" ht="15.75" customHeight="1">
      <c r="A1295" s="34">
        <v>45566.0</v>
      </c>
      <c r="B1295" s="35"/>
    </row>
    <row r="1296" ht="15.75" customHeight="1">
      <c r="A1296" s="35" t="s">
        <v>47</v>
      </c>
      <c r="B1296" s="36"/>
    </row>
    <row r="1297" ht="15.75" customHeight="1">
      <c r="A1297" s="35" t="s">
        <v>115</v>
      </c>
      <c r="B1297" s="35"/>
    </row>
    <row r="1298" ht="15.75" customHeight="1">
      <c r="A1298" s="35" t="s">
        <v>105</v>
      </c>
      <c r="B1298" s="37">
        <v>1300.0</v>
      </c>
    </row>
    <row r="1299" ht="15.75" customHeight="1">
      <c r="A1299" s="35" t="s">
        <v>110</v>
      </c>
      <c r="B1299" s="37">
        <v>618.26</v>
      </c>
    </row>
    <row r="1300" ht="15.75" customHeight="1">
      <c r="A1300" s="35" t="s">
        <v>87</v>
      </c>
      <c r="B1300" s="37">
        <v>179.9</v>
      </c>
    </row>
    <row r="1301" ht="15.75" customHeight="1">
      <c r="A1301" s="35"/>
      <c r="B1301" s="35"/>
    </row>
    <row r="1302" ht="15.75" customHeight="1">
      <c r="A1302" s="35"/>
      <c r="B1302" s="35"/>
    </row>
    <row r="1303" ht="15.75" customHeight="1">
      <c r="A1303" s="35" t="s">
        <v>1</v>
      </c>
      <c r="B1303" s="37">
        <f>SUM(B1296:HT1302)</f>
        <v>2098.16</v>
      </c>
    </row>
    <row r="1304" ht="15.75" customHeight="1"/>
    <row r="1305" ht="15.75" customHeight="1">
      <c r="A1305" s="34">
        <v>45597.0</v>
      </c>
      <c r="B1305" s="35"/>
    </row>
    <row r="1306" ht="15.75" customHeight="1">
      <c r="A1306" s="35" t="s">
        <v>47</v>
      </c>
      <c r="B1306" s="36"/>
    </row>
    <row r="1307" ht="15.75" customHeight="1">
      <c r="A1307" s="35" t="s">
        <v>115</v>
      </c>
      <c r="B1307" s="35"/>
    </row>
    <row r="1308" ht="15.75" customHeight="1">
      <c r="A1308" s="35" t="s">
        <v>105</v>
      </c>
      <c r="B1308" s="37">
        <v>1300.0</v>
      </c>
    </row>
    <row r="1309" ht="15.75" customHeight="1">
      <c r="A1309" s="35" t="s">
        <v>110</v>
      </c>
      <c r="B1309" s="37">
        <v>618.26</v>
      </c>
    </row>
    <row r="1310" ht="15.75" customHeight="1">
      <c r="A1310" s="35" t="s">
        <v>87</v>
      </c>
      <c r="B1310" s="37">
        <v>179.9</v>
      </c>
    </row>
    <row r="1311" ht="15.75" customHeight="1">
      <c r="A1311" s="35"/>
      <c r="B1311" s="35"/>
    </row>
    <row r="1312" ht="15.75" customHeight="1">
      <c r="A1312" s="35"/>
      <c r="B1312" s="35"/>
    </row>
    <row r="1313" ht="15.75" customHeight="1">
      <c r="A1313" s="35" t="s">
        <v>1</v>
      </c>
      <c r="B1313" s="37">
        <f>SUM(B1306:HT1312)</f>
        <v>2098.16</v>
      </c>
    </row>
    <row r="1314" ht="15.75" customHeight="1"/>
    <row r="1315" ht="15.75" customHeight="1">
      <c r="A1315" s="34">
        <v>45627.0</v>
      </c>
      <c r="B1315" s="35"/>
    </row>
    <row r="1316" ht="15.75" customHeight="1">
      <c r="A1316" s="35" t="s">
        <v>47</v>
      </c>
      <c r="B1316" s="36"/>
    </row>
    <row r="1317" ht="15.75" customHeight="1">
      <c r="A1317" s="35" t="s">
        <v>115</v>
      </c>
      <c r="B1317" s="35"/>
    </row>
    <row r="1318" ht="15.75" customHeight="1">
      <c r="A1318" s="35" t="s">
        <v>105</v>
      </c>
      <c r="B1318" s="37">
        <v>1300.0</v>
      </c>
    </row>
    <row r="1319" ht="15.75" customHeight="1">
      <c r="A1319" s="35" t="s">
        <v>110</v>
      </c>
      <c r="B1319" s="37">
        <v>618.26</v>
      </c>
    </row>
    <row r="1320" ht="15.75" customHeight="1">
      <c r="A1320" s="35" t="s">
        <v>87</v>
      </c>
      <c r="B1320" s="37">
        <v>179.9</v>
      </c>
    </row>
    <row r="1321" ht="15.75" customHeight="1">
      <c r="A1321" s="35"/>
      <c r="B1321" s="35"/>
    </row>
    <row r="1322" ht="15.75" customHeight="1">
      <c r="A1322" s="35"/>
      <c r="B1322" s="35"/>
    </row>
    <row r="1323" ht="15.75" customHeight="1">
      <c r="A1323" s="35" t="s">
        <v>1</v>
      </c>
      <c r="B1323" s="37">
        <f>SUM(B1316:HT1322)</f>
        <v>2098.16</v>
      </c>
    </row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</sheetData>
  <printOptions/>
  <pageMargins bottom="1.18125" footer="0.0" header="0.0" left="0.511805555555555" right="0.511805555555555" top="1.1812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9.14"/>
    <col customWidth="1" min="3" max="3" width="13.14"/>
    <col customWidth="1" min="4" max="4" width="14.0"/>
    <col customWidth="1" min="5" max="7" width="13.14"/>
    <col customWidth="1" min="8" max="8" width="9.0"/>
    <col customWidth="1" min="9" max="9" width="13.14"/>
    <col customWidth="1" min="10" max="10" width="10.71"/>
    <col customWidth="1" min="11" max="14" width="9.0"/>
    <col customWidth="1" min="15" max="15" width="13.14"/>
    <col customWidth="1" min="16" max="18" width="9.0"/>
    <col customWidth="1" min="19" max="19" width="21.14"/>
    <col customWidth="1" min="20" max="20" width="10.86"/>
    <col customWidth="1" min="21" max="21" width="9.0"/>
    <col customWidth="1" min="22" max="22" width="13.14"/>
    <col customWidth="1" min="23" max="23" width="11.57"/>
    <col customWidth="1" min="24" max="25" width="9.0"/>
    <col customWidth="1" min="26" max="26" width="13.14"/>
    <col customWidth="1" min="27" max="113" width="9.0"/>
  </cols>
  <sheetData>
    <row r="1">
      <c r="A1" s="1">
        <v>41334.0</v>
      </c>
    </row>
    <row r="2">
      <c r="A2" s="2" t="s">
        <v>46</v>
      </c>
      <c r="B2" s="3">
        <v>38.87</v>
      </c>
      <c r="C2" s="3">
        <v>33.9</v>
      </c>
      <c r="D2" s="3">
        <v>6.49</v>
      </c>
      <c r="E2" s="3">
        <v>9.81</v>
      </c>
      <c r="F2" s="3">
        <v>74.67</v>
      </c>
      <c r="G2" s="3">
        <v>18.0</v>
      </c>
      <c r="H2" s="3">
        <v>35.78</v>
      </c>
      <c r="I2" s="3">
        <v>13.64</v>
      </c>
      <c r="J2" s="3">
        <v>50.74</v>
      </c>
      <c r="K2" s="3">
        <v>8.48</v>
      </c>
      <c r="L2" s="3">
        <v>11.37</v>
      </c>
    </row>
    <row r="3">
      <c r="A3" s="2" t="s">
        <v>50</v>
      </c>
      <c r="B3" s="3">
        <v>24.69</v>
      </c>
      <c r="C3" s="3">
        <v>25.91</v>
      </c>
    </row>
    <row r="4">
      <c r="A4" s="2" t="s">
        <v>95</v>
      </c>
      <c r="B4" s="3">
        <v>369.17</v>
      </c>
      <c r="C4" s="3">
        <v>50.0</v>
      </c>
    </row>
    <row r="5">
      <c r="A5" s="2" t="s">
        <v>121</v>
      </c>
      <c r="B5" s="3">
        <v>160.0</v>
      </c>
    </row>
    <row r="6">
      <c r="A6" s="2" t="s">
        <v>70</v>
      </c>
      <c r="B6" s="3">
        <v>54.5</v>
      </c>
      <c r="C6" s="3">
        <v>12.9</v>
      </c>
      <c r="D6" s="3">
        <v>18.9</v>
      </c>
    </row>
    <row r="7">
      <c r="A7" s="2" t="s">
        <v>122</v>
      </c>
      <c r="B7" s="3">
        <v>150.0</v>
      </c>
      <c r="C7" s="3">
        <v>25.0</v>
      </c>
      <c r="D7" s="3">
        <v>80.0</v>
      </c>
    </row>
    <row r="8">
      <c r="A8" s="4" t="s">
        <v>1</v>
      </c>
      <c r="B8" s="4">
        <v>1272.82</v>
      </c>
      <c r="C8" s="4"/>
    </row>
    <row r="10">
      <c r="A10" s="1">
        <v>41365.0</v>
      </c>
      <c r="H10" s="38"/>
    </row>
    <row r="11">
      <c r="A11" s="2" t="s">
        <v>46</v>
      </c>
      <c r="B11" s="3">
        <v>35.78</v>
      </c>
      <c r="C11" s="3">
        <v>49.9</v>
      </c>
      <c r="D11" s="3">
        <v>59.9</v>
      </c>
      <c r="E11" s="3">
        <v>46.61</v>
      </c>
      <c r="F11" s="3">
        <v>41.72</v>
      </c>
      <c r="G11" s="3">
        <v>17.79</v>
      </c>
      <c r="H11" s="3">
        <v>40.0</v>
      </c>
      <c r="I11" s="3">
        <v>18.0</v>
      </c>
      <c r="J11" s="3">
        <v>10.0</v>
      </c>
      <c r="K11" s="3">
        <v>4.45</v>
      </c>
      <c r="L11" s="3">
        <v>11.7</v>
      </c>
      <c r="M11" s="3">
        <v>33.92</v>
      </c>
      <c r="N11" s="3">
        <v>149.0</v>
      </c>
      <c r="O11" s="3">
        <v>20.3</v>
      </c>
    </row>
    <row r="12">
      <c r="A12" s="2" t="s">
        <v>50</v>
      </c>
      <c r="B12" s="3">
        <v>24.69</v>
      </c>
      <c r="C12" s="3">
        <v>25.91</v>
      </c>
      <c r="D12" s="3">
        <v>37.56</v>
      </c>
    </row>
    <row r="13">
      <c r="A13" s="2" t="s">
        <v>95</v>
      </c>
      <c r="B13" s="3">
        <v>369.17</v>
      </c>
    </row>
    <row r="14">
      <c r="A14" s="2" t="s">
        <v>121</v>
      </c>
      <c r="B14" s="3">
        <v>160.0</v>
      </c>
    </row>
    <row r="15">
      <c r="A15" s="2" t="s">
        <v>59</v>
      </c>
      <c r="B15" s="3">
        <v>44.9</v>
      </c>
    </row>
    <row r="16">
      <c r="A16" s="2" t="s">
        <v>123</v>
      </c>
      <c r="B16" s="3">
        <v>10.99</v>
      </c>
    </row>
    <row r="17">
      <c r="A17" s="2" t="s">
        <v>124</v>
      </c>
      <c r="B17" s="3">
        <v>11.0</v>
      </c>
      <c r="C17" s="3">
        <v>18.0</v>
      </c>
    </row>
    <row r="18">
      <c r="A18" s="2" t="s">
        <v>125</v>
      </c>
      <c r="B18" s="2">
        <v>25.0</v>
      </c>
    </row>
    <row r="19" ht="14.25" customHeight="1">
      <c r="A19" s="4" t="s">
        <v>2</v>
      </c>
      <c r="B19" s="4">
        <v>1266.29</v>
      </c>
    </row>
    <row r="20">
      <c r="A20" s="1">
        <v>41395.0</v>
      </c>
    </row>
    <row r="21" ht="15.75" customHeight="1">
      <c r="A21" s="2" t="s">
        <v>46</v>
      </c>
      <c r="B21" s="3">
        <v>35.78</v>
      </c>
      <c r="C21" s="3">
        <v>61.1</v>
      </c>
      <c r="D21" s="3">
        <v>27.0</v>
      </c>
      <c r="E21" s="3">
        <v>18.4</v>
      </c>
      <c r="F21" s="3">
        <v>22.9</v>
      </c>
      <c r="G21" s="3">
        <v>12.98</v>
      </c>
      <c r="H21" s="3">
        <v>23.8</v>
      </c>
      <c r="I21" s="3">
        <v>58.0</v>
      </c>
      <c r="J21" s="3">
        <v>37.35</v>
      </c>
      <c r="K21" s="3">
        <v>21.91</v>
      </c>
      <c r="L21" s="3">
        <v>30.01</v>
      </c>
    </row>
    <row r="22" ht="15.75" customHeight="1">
      <c r="A22" s="2" t="s">
        <v>50</v>
      </c>
      <c r="B22" s="3">
        <v>24.69</v>
      </c>
      <c r="C22" s="3">
        <v>25.91</v>
      </c>
      <c r="D22" s="3">
        <v>37.56</v>
      </c>
    </row>
    <row r="23" ht="15.75" customHeight="1">
      <c r="A23" s="2" t="s">
        <v>95</v>
      </c>
      <c r="B23" s="3">
        <v>369.17</v>
      </c>
    </row>
    <row r="24" ht="15.75" customHeight="1">
      <c r="A24" s="2" t="s">
        <v>121</v>
      </c>
      <c r="B24" s="3">
        <v>160.0</v>
      </c>
    </row>
    <row r="25" ht="15.75" customHeight="1">
      <c r="A25" s="2" t="s">
        <v>59</v>
      </c>
      <c r="B25" s="3">
        <v>44.9</v>
      </c>
      <c r="C25" s="3"/>
      <c r="D25" s="3"/>
      <c r="E25" s="3"/>
    </row>
    <row r="26" ht="15.75" customHeight="1">
      <c r="A26" s="2" t="s">
        <v>124</v>
      </c>
      <c r="B26" s="3">
        <v>27.5</v>
      </c>
      <c r="C26" s="3">
        <v>28.0</v>
      </c>
      <c r="D26" s="3">
        <v>16.0</v>
      </c>
      <c r="E26" s="3">
        <v>32.0</v>
      </c>
    </row>
    <row r="27" ht="15.75" customHeight="1">
      <c r="A27" s="2" t="s">
        <v>126</v>
      </c>
      <c r="B27" s="3">
        <v>72.0</v>
      </c>
      <c r="C27" s="3"/>
      <c r="D27" s="3"/>
      <c r="E27" s="3"/>
    </row>
    <row r="28" ht="15.75" customHeight="1">
      <c r="A28" s="2" t="s">
        <v>125</v>
      </c>
      <c r="B28" s="3">
        <v>25.0</v>
      </c>
    </row>
    <row r="29" ht="15.75" customHeight="1">
      <c r="A29" s="4" t="s">
        <v>2</v>
      </c>
      <c r="B29" s="4">
        <v>1211.96</v>
      </c>
    </row>
    <row r="30" ht="15.75" customHeight="1">
      <c r="A30" s="1">
        <v>41426.0</v>
      </c>
    </row>
    <row r="31" ht="15.75" customHeight="1">
      <c r="A31" s="2" t="s">
        <v>46</v>
      </c>
      <c r="B31" s="3">
        <v>32.25</v>
      </c>
      <c r="C31" s="3">
        <v>44.83</v>
      </c>
      <c r="D31" s="3">
        <v>57.84</v>
      </c>
      <c r="E31" s="3">
        <v>16.64</v>
      </c>
      <c r="F31" s="3">
        <v>40.05</v>
      </c>
      <c r="G31" s="3">
        <v>7.0</v>
      </c>
      <c r="H31" s="3">
        <v>18.0</v>
      </c>
      <c r="I31" s="5"/>
      <c r="J31" s="5"/>
    </row>
    <row r="32" ht="15.75" customHeight="1">
      <c r="A32" s="2" t="s">
        <v>50</v>
      </c>
      <c r="B32" s="3">
        <v>24.69</v>
      </c>
      <c r="C32" s="3">
        <v>37.58</v>
      </c>
      <c r="D32" s="3">
        <v>22.45</v>
      </c>
      <c r="E32" s="3">
        <v>24.69</v>
      </c>
    </row>
    <row r="33" ht="15.75" customHeight="1">
      <c r="A33" s="2" t="s">
        <v>95</v>
      </c>
      <c r="B33" s="3">
        <v>369.17</v>
      </c>
    </row>
    <row r="34" ht="15.75" customHeight="1">
      <c r="A34" s="2" t="s">
        <v>121</v>
      </c>
      <c r="B34" s="3">
        <v>160.0</v>
      </c>
    </row>
    <row r="35" ht="15.75" customHeight="1">
      <c r="A35" s="2" t="s">
        <v>124</v>
      </c>
      <c r="B35" s="3">
        <v>27.5</v>
      </c>
      <c r="C35" s="3">
        <v>32.0</v>
      </c>
      <c r="D35" s="3">
        <v>13.8</v>
      </c>
      <c r="E35" s="3">
        <v>14.8</v>
      </c>
      <c r="F35" s="3">
        <v>13.8</v>
      </c>
    </row>
    <row r="36" ht="15.75" customHeight="1">
      <c r="A36" s="2" t="s">
        <v>126</v>
      </c>
      <c r="B36" s="3">
        <v>72.0</v>
      </c>
    </row>
    <row r="37" ht="15.75" customHeight="1">
      <c r="A37" s="2" t="s">
        <v>127</v>
      </c>
      <c r="B37" s="3">
        <v>53.0</v>
      </c>
      <c r="C37" s="3">
        <v>56.0</v>
      </c>
    </row>
    <row r="38" ht="15.75" customHeight="1">
      <c r="A38" s="2" t="s">
        <v>59</v>
      </c>
      <c r="B38" s="3">
        <v>22.0</v>
      </c>
      <c r="C38" s="3">
        <v>20.0</v>
      </c>
    </row>
    <row r="39" ht="15.75" customHeight="1">
      <c r="A39" s="4" t="s">
        <v>2</v>
      </c>
      <c r="B39" s="4">
        <v>1180.09</v>
      </c>
    </row>
    <row r="40" ht="15.75" customHeight="1">
      <c r="A40" s="1">
        <v>41456.0</v>
      </c>
    </row>
    <row r="41" ht="15.75" customHeight="1">
      <c r="A41" s="2" t="s">
        <v>46</v>
      </c>
      <c r="B41" s="3">
        <v>40.05</v>
      </c>
      <c r="C41" s="3">
        <v>16.64</v>
      </c>
      <c r="D41" s="3">
        <v>56.34</v>
      </c>
      <c r="E41" s="3">
        <v>28.05</v>
      </c>
      <c r="F41" s="3">
        <v>12.9</v>
      </c>
      <c r="G41" s="3">
        <v>110.1</v>
      </c>
      <c r="H41" s="3">
        <v>64.92</v>
      </c>
      <c r="I41" s="3">
        <v>23.74</v>
      </c>
      <c r="J41" s="3">
        <v>12.65</v>
      </c>
      <c r="K41" s="3"/>
      <c r="M41" s="3"/>
    </row>
    <row r="42" ht="15.75" customHeight="1">
      <c r="A42" s="2" t="s">
        <v>50</v>
      </c>
      <c r="B42" s="3">
        <v>22.45</v>
      </c>
      <c r="C42" s="3">
        <v>37.58</v>
      </c>
    </row>
    <row r="43" ht="15.75" customHeight="1">
      <c r="A43" s="2" t="s">
        <v>95</v>
      </c>
      <c r="B43" s="3">
        <v>369.17</v>
      </c>
    </row>
    <row r="44" ht="15.75" customHeight="1">
      <c r="A44" s="2" t="s">
        <v>121</v>
      </c>
      <c r="B44" s="3">
        <v>100.0</v>
      </c>
    </row>
    <row r="45" ht="15.75" customHeight="1">
      <c r="A45" s="2" t="s">
        <v>126</v>
      </c>
      <c r="B45" s="3">
        <v>72.0</v>
      </c>
      <c r="D45" s="2" t="s">
        <v>128</v>
      </c>
      <c r="E45" s="3">
        <v>80.0</v>
      </c>
    </row>
    <row r="46" ht="15.75" customHeight="1">
      <c r="A46" s="2" t="s">
        <v>129</v>
      </c>
      <c r="B46" s="3">
        <v>53.0</v>
      </c>
      <c r="D46" s="2" t="s">
        <v>54</v>
      </c>
      <c r="E46" s="3">
        <v>20.0</v>
      </c>
    </row>
    <row r="47" ht="15.75" customHeight="1">
      <c r="A47" s="2" t="s">
        <v>130</v>
      </c>
      <c r="B47" s="3">
        <v>56.0</v>
      </c>
      <c r="D47" s="2" t="s">
        <v>125</v>
      </c>
      <c r="E47" s="3">
        <v>25.0</v>
      </c>
    </row>
    <row r="48" ht="15.75" customHeight="1">
      <c r="A48" s="2" t="s">
        <v>124</v>
      </c>
      <c r="B48" s="3">
        <v>12.0</v>
      </c>
      <c r="C48" s="3">
        <v>10.0</v>
      </c>
      <c r="D48" s="2" t="s">
        <v>131</v>
      </c>
      <c r="E48" s="3">
        <v>25.0</v>
      </c>
    </row>
    <row r="49" ht="15.75" customHeight="1">
      <c r="A49" s="4" t="s">
        <v>2</v>
      </c>
      <c r="B49" s="4">
        <v>1247.59</v>
      </c>
    </row>
    <row r="50" ht="15.75" customHeight="1">
      <c r="A50" s="1">
        <v>41487.0</v>
      </c>
    </row>
    <row r="51" ht="15.75" customHeight="1">
      <c r="A51" s="2" t="s">
        <v>46</v>
      </c>
      <c r="B51" s="3">
        <v>16.64</v>
      </c>
      <c r="C51" s="3">
        <v>56.34</v>
      </c>
      <c r="D51" s="3">
        <v>23.74</v>
      </c>
      <c r="E51" s="3">
        <v>56.45</v>
      </c>
      <c r="F51" s="3">
        <v>24.0</v>
      </c>
      <c r="G51" s="3">
        <v>19.11</v>
      </c>
      <c r="H51" s="3">
        <v>8.13</v>
      </c>
      <c r="I51" s="3">
        <v>30.4</v>
      </c>
      <c r="J51" s="3">
        <v>50.0</v>
      </c>
      <c r="K51" s="3">
        <v>10.55</v>
      </c>
      <c r="L51" s="3">
        <v>40.0</v>
      </c>
      <c r="M51" s="3">
        <v>27.49</v>
      </c>
      <c r="N51" s="3">
        <v>30.0</v>
      </c>
      <c r="O51" s="3">
        <v>116.07</v>
      </c>
      <c r="P51" s="3">
        <v>7.0</v>
      </c>
    </row>
    <row r="52" ht="15.75" customHeight="1">
      <c r="A52" s="2" t="s">
        <v>95</v>
      </c>
      <c r="B52" s="3">
        <v>369.17</v>
      </c>
    </row>
    <row r="53" ht="15.75" customHeight="1">
      <c r="A53" s="2" t="s">
        <v>53</v>
      </c>
      <c r="B53" s="3">
        <v>37.58</v>
      </c>
      <c r="C53" s="3">
        <v>22.45</v>
      </c>
      <c r="E53" s="3"/>
    </row>
    <row r="54" ht="15.75" customHeight="1">
      <c r="A54" s="2" t="s">
        <v>126</v>
      </c>
      <c r="B54" s="3">
        <v>132.0</v>
      </c>
      <c r="D54" s="2" t="s">
        <v>132</v>
      </c>
      <c r="E54" s="3">
        <v>70.0</v>
      </c>
    </row>
    <row r="55" ht="15.75" customHeight="1">
      <c r="A55" s="2" t="s">
        <v>129</v>
      </c>
      <c r="B55" s="3">
        <v>53.0</v>
      </c>
      <c r="D55" s="2" t="s">
        <v>59</v>
      </c>
      <c r="E55" s="3">
        <v>21.5</v>
      </c>
    </row>
    <row r="56" ht="15.75" customHeight="1">
      <c r="A56" s="2" t="s">
        <v>130</v>
      </c>
      <c r="B56" s="3">
        <v>56.0</v>
      </c>
      <c r="D56" s="2" t="s">
        <v>133</v>
      </c>
      <c r="E56" s="3">
        <v>33.0</v>
      </c>
    </row>
    <row r="57" ht="15.75" customHeight="1">
      <c r="A57" s="2" t="s">
        <v>134</v>
      </c>
      <c r="B57" s="3">
        <v>12.0</v>
      </c>
      <c r="C57" s="3">
        <v>13.0</v>
      </c>
      <c r="D57" s="3">
        <v>6.0</v>
      </c>
    </row>
    <row r="58" ht="15.75" customHeight="1">
      <c r="A58" s="2" t="s">
        <v>54</v>
      </c>
      <c r="B58" s="3">
        <v>25.0</v>
      </c>
    </row>
    <row r="59" ht="15.75" customHeight="1">
      <c r="A59" s="4" t="s">
        <v>2</v>
      </c>
      <c r="B59" s="4">
        <v>1366.62</v>
      </c>
    </row>
    <row r="60" ht="15.75" customHeight="1">
      <c r="A60" s="1">
        <v>41518.0</v>
      </c>
    </row>
    <row r="61" ht="15.75" customHeight="1">
      <c r="A61" s="2" t="s">
        <v>46</v>
      </c>
      <c r="B61" s="3">
        <v>56.34</v>
      </c>
      <c r="C61" s="3">
        <v>23.72</v>
      </c>
      <c r="D61" s="3">
        <v>10.55</v>
      </c>
      <c r="E61" s="3">
        <v>37.24</v>
      </c>
      <c r="F61" s="3">
        <v>25.6</v>
      </c>
      <c r="G61" s="3">
        <v>33.6</v>
      </c>
      <c r="H61" s="3">
        <v>40.0</v>
      </c>
      <c r="I61" s="3">
        <v>10.31</v>
      </c>
      <c r="J61" s="3">
        <v>8.53</v>
      </c>
      <c r="K61" s="3">
        <v>11.32</v>
      </c>
      <c r="L61" s="3">
        <v>9.95</v>
      </c>
      <c r="M61" s="3">
        <v>3.5</v>
      </c>
      <c r="N61" s="3">
        <v>31.99</v>
      </c>
      <c r="O61" s="3">
        <v>21.23</v>
      </c>
    </row>
    <row r="62" ht="15.75" customHeight="1">
      <c r="A62" s="2" t="s">
        <v>95</v>
      </c>
      <c r="B62" s="3">
        <v>369.17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5.75" customHeight="1">
      <c r="A63" s="2" t="s">
        <v>53</v>
      </c>
      <c r="B63" s="3">
        <v>37.8</v>
      </c>
      <c r="C63" s="3">
        <v>22.45</v>
      </c>
      <c r="D63" s="3">
        <v>22.45</v>
      </c>
      <c r="E63" s="3">
        <v>22.45</v>
      </c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5.75" customHeight="1">
      <c r="A64" s="2" t="s">
        <v>126</v>
      </c>
      <c r="B64" s="3">
        <v>134.0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5.75" customHeight="1">
      <c r="A65" s="2" t="s">
        <v>129</v>
      </c>
      <c r="B65" s="3">
        <v>53.0</v>
      </c>
      <c r="C65" s="3"/>
      <c r="D65" s="2" t="s">
        <v>135</v>
      </c>
      <c r="E65" s="3">
        <v>41.99</v>
      </c>
      <c r="F65" s="3"/>
      <c r="G65" s="3"/>
      <c r="H65" s="2" t="s">
        <v>134</v>
      </c>
      <c r="I65" s="3">
        <v>6.0</v>
      </c>
      <c r="J65" s="3"/>
      <c r="K65" s="3"/>
      <c r="L65" s="3"/>
      <c r="M65" s="3"/>
      <c r="N65" s="3"/>
      <c r="O65" s="3"/>
    </row>
    <row r="66" ht="15.75" customHeight="1">
      <c r="A66" s="2" t="s">
        <v>121</v>
      </c>
      <c r="B66" s="3">
        <v>60.0</v>
      </c>
      <c r="C66" s="3"/>
      <c r="D66" s="2" t="s">
        <v>136</v>
      </c>
      <c r="E66" s="3">
        <v>30.4</v>
      </c>
      <c r="F66" s="3">
        <v>10.0</v>
      </c>
      <c r="G66" s="3"/>
      <c r="H66" s="2" t="s">
        <v>123</v>
      </c>
      <c r="I66" s="3">
        <v>70.0</v>
      </c>
      <c r="J66" s="3"/>
      <c r="K66" s="3"/>
      <c r="L66" s="3"/>
      <c r="M66" s="3"/>
      <c r="N66" s="3"/>
      <c r="O66" s="3"/>
    </row>
    <row r="67" ht="15.75" customHeight="1">
      <c r="A67" s="2" t="s">
        <v>133</v>
      </c>
      <c r="B67" s="3">
        <v>30.0</v>
      </c>
      <c r="C67" s="3"/>
      <c r="D67" s="2" t="s">
        <v>54</v>
      </c>
      <c r="E67" s="3">
        <v>200.0</v>
      </c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5.75" customHeight="1">
      <c r="A68" s="2" t="s">
        <v>59</v>
      </c>
      <c r="B68" s="3">
        <v>60.0</v>
      </c>
      <c r="C68" s="3">
        <v>14.9</v>
      </c>
      <c r="D68" s="2" t="s">
        <v>137</v>
      </c>
      <c r="E68" s="3">
        <v>44.0</v>
      </c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5.75" customHeight="1">
      <c r="A69" s="4" t="s">
        <v>2</v>
      </c>
      <c r="B69" s="4">
        <v>1482.49</v>
      </c>
      <c r="E69" s="3"/>
    </row>
    <row r="70" ht="15.75" customHeight="1">
      <c r="A70" s="1">
        <v>41548.0</v>
      </c>
    </row>
    <row r="71" ht="15.75" customHeight="1">
      <c r="A71" s="2" t="s">
        <v>46</v>
      </c>
      <c r="B71" s="3">
        <v>23.74</v>
      </c>
      <c r="C71" s="3">
        <v>10.55</v>
      </c>
      <c r="D71" s="3">
        <v>11.32</v>
      </c>
      <c r="E71" s="3">
        <v>31.99</v>
      </c>
      <c r="F71" s="3">
        <v>21.23</v>
      </c>
      <c r="G71" s="3">
        <v>32.7</v>
      </c>
      <c r="H71" s="3">
        <v>32.0</v>
      </c>
      <c r="I71" s="3">
        <v>21.67</v>
      </c>
      <c r="J71" s="3">
        <v>21.95</v>
      </c>
      <c r="K71" s="3">
        <v>18.0</v>
      </c>
      <c r="L71" s="3">
        <v>23.62</v>
      </c>
      <c r="M71" s="3">
        <v>19.9</v>
      </c>
      <c r="N71" s="3">
        <v>18.59</v>
      </c>
      <c r="O71" s="3">
        <v>24.4</v>
      </c>
      <c r="P71" s="3">
        <v>12.0</v>
      </c>
      <c r="Q71" s="3">
        <v>17.6</v>
      </c>
      <c r="R71" s="3">
        <v>30.0</v>
      </c>
      <c r="S71" s="3">
        <v>73.0</v>
      </c>
      <c r="T71" s="3">
        <v>16.5</v>
      </c>
      <c r="U71" s="3">
        <v>41.99</v>
      </c>
      <c r="V71" s="3">
        <v>30.0</v>
      </c>
      <c r="W71" s="3">
        <v>10.66</v>
      </c>
      <c r="X71" s="3">
        <v>47.44</v>
      </c>
      <c r="Y71" s="3"/>
      <c r="Z71" s="3">
        <v>590.85</v>
      </c>
      <c r="AA71" s="2" t="s">
        <v>138</v>
      </c>
      <c r="AB71" s="3">
        <v>21.23</v>
      </c>
    </row>
    <row r="72" ht="15.75" customHeight="1">
      <c r="A72" s="2" t="s">
        <v>95</v>
      </c>
      <c r="B72" s="3">
        <v>369.17</v>
      </c>
    </row>
    <row r="73" ht="15.75" customHeight="1">
      <c r="A73" s="2" t="s">
        <v>139</v>
      </c>
      <c r="B73" s="3">
        <v>45.0</v>
      </c>
      <c r="D73" s="2" t="s">
        <v>123</v>
      </c>
      <c r="E73" s="3">
        <v>77.6</v>
      </c>
      <c r="O73" s="3"/>
    </row>
    <row r="74" ht="15.75" customHeight="1">
      <c r="A74" s="2" t="s">
        <v>126</v>
      </c>
      <c r="B74" s="3">
        <v>132.0</v>
      </c>
      <c r="D74" s="2" t="s">
        <v>56</v>
      </c>
      <c r="E74" s="3">
        <v>70.0</v>
      </c>
    </row>
    <row r="75" ht="15.75" customHeight="1">
      <c r="A75" s="2" t="s">
        <v>135</v>
      </c>
      <c r="B75" s="3">
        <v>31.88</v>
      </c>
    </row>
    <row r="76" ht="15.75" customHeight="1">
      <c r="A76" s="2" t="s">
        <v>54</v>
      </c>
      <c r="B76" s="3">
        <v>100.0</v>
      </c>
    </row>
    <row r="77" ht="15.75" customHeight="1">
      <c r="A77" s="2" t="s">
        <v>59</v>
      </c>
      <c r="B77" s="3">
        <v>52.0</v>
      </c>
    </row>
    <row r="78" ht="15.75" customHeight="1">
      <c r="A78" s="2" t="s">
        <v>140</v>
      </c>
      <c r="B78" s="3">
        <v>11.5</v>
      </c>
      <c r="C78" s="3">
        <v>8.0</v>
      </c>
    </row>
    <row r="79" ht="15.75" customHeight="1">
      <c r="A79" s="4" t="s">
        <v>2</v>
      </c>
      <c r="B79" s="4">
        <v>1488.0</v>
      </c>
    </row>
    <row r="80" ht="15.75" customHeight="1">
      <c r="A80" s="1">
        <v>41579.0</v>
      </c>
      <c r="N80" s="3"/>
    </row>
    <row r="81" ht="15.75" customHeight="1">
      <c r="A81" s="2" t="s">
        <v>46</v>
      </c>
      <c r="B81" s="3">
        <v>10.55</v>
      </c>
      <c r="C81" s="3">
        <v>11.32</v>
      </c>
      <c r="D81" s="3">
        <v>31.99</v>
      </c>
      <c r="E81" s="3">
        <v>32.7</v>
      </c>
      <c r="F81" s="3">
        <v>32.0</v>
      </c>
      <c r="G81" s="3">
        <v>21.67</v>
      </c>
      <c r="H81" s="3">
        <v>114.55</v>
      </c>
      <c r="I81" s="3">
        <v>29.95</v>
      </c>
      <c r="J81" s="3">
        <v>32.86</v>
      </c>
      <c r="K81" s="3">
        <v>5.9</v>
      </c>
      <c r="L81" s="3">
        <v>11.37</v>
      </c>
      <c r="M81" s="3">
        <v>9.75</v>
      </c>
      <c r="N81" s="3">
        <v>45.96</v>
      </c>
      <c r="O81" s="3">
        <v>11.34</v>
      </c>
      <c r="P81" s="3">
        <v>37.8</v>
      </c>
    </row>
    <row r="82" ht="15.75" customHeight="1">
      <c r="A82" s="2" t="s">
        <v>95</v>
      </c>
      <c r="B82" s="3">
        <v>369.17</v>
      </c>
    </row>
    <row r="83" ht="15.75" customHeight="1">
      <c r="A83" s="2" t="s">
        <v>139</v>
      </c>
      <c r="B83" s="3">
        <v>44.0</v>
      </c>
      <c r="D83" s="2" t="s">
        <v>125</v>
      </c>
      <c r="E83" s="3">
        <v>25.0</v>
      </c>
    </row>
    <row r="84" ht="15.75" customHeight="1">
      <c r="A84" s="2" t="s">
        <v>126</v>
      </c>
      <c r="B84" s="3">
        <v>134.0</v>
      </c>
      <c r="D84" s="2" t="s">
        <v>141</v>
      </c>
      <c r="E84" s="3">
        <v>7.0</v>
      </c>
      <c r="F84" s="3">
        <v>6.0</v>
      </c>
    </row>
    <row r="85" ht="15.75" customHeight="1">
      <c r="A85" s="2" t="s">
        <v>59</v>
      </c>
      <c r="B85" s="3">
        <v>100.0</v>
      </c>
      <c r="D85" s="2" t="s">
        <v>54</v>
      </c>
      <c r="E85" s="3">
        <v>25.0</v>
      </c>
    </row>
    <row r="86" ht="15.75" customHeight="1">
      <c r="A86" s="2" t="s">
        <v>142</v>
      </c>
      <c r="B86" s="3">
        <v>68.06</v>
      </c>
      <c r="C86" s="3">
        <v>77.0</v>
      </c>
      <c r="D86" s="2" t="s">
        <v>137</v>
      </c>
      <c r="E86" s="3">
        <v>17.0</v>
      </c>
    </row>
    <row r="87" ht="15.75" customHeight="1">
      <c r="A87" s="2" t="s">
        <v>56</v>
      </c>
      <c r="B87" s="3">
        <v>70.0</v>
      </c>
    </row>
    <row r="88" ht="15.75" customHeight="1">
      <c r="A88" s="4" t="s">
        <v>2</v>
      </c>
      <c r="B88" s="4">
        <v>1344.14</v>
      </c>
    </row>
    <row r="89" ht="15.75" customHeight="1"/>
    <row r="90" ht="15.75" customHeight="1">
      <c r="A90" s="1">
        <v>41609.0</v>
      </c>
    </row>
    <row r="91" ht="15.75" customHeight="1">
      <c r="A91" s="2" t="s">
        <v>46</v>
      </c>
      <c r="B91" s="3">
        <v>10.55</v>
      </c>
      <c r="C91" s="3">
        <v>11.32</v>
      </c>
      <c r="D91" s="3">
        <v>32.7</v>
      </c>
      <c r="E91" s="3">
        <v>32.0</v>
      </c>
      <c r="F91" s="3">
        <v>21.67</v>
      </c>
      <c r="G91" s="3">
        <v>29.95</v>
      </c>
      <c r="H91" s="3">
        <v>11.34</v>
      </c>
      <c r="I91" s="3">
        <v>45.96</v>
      </c>
      <c r="J91" s="3">
        <v>59.7</v>
      </c>
      <c r="K91" s="3">
        <v>18.0</v>
      </c>
      <c r="L91" s="3">
        <v>30.0</v>
      </c>
      <c r="M91" s="3">
        <v>6.5</v>
      </c>
      <c r="N91" s="3">
        <v>23.25</v>
      </c>
      <c r="O91" s="3">
        <v>107.84</v>
      </c>
      <c r="P91" s="3">
        <v>14.36</v>
      </c>
      <c r="Q91" s="3">
        <v>42.25</v>
      </c>
      <c r="R91" s="3">
        <v>12.0</v>
      </c>
      <c r="S91" s="3">
        <v>117.5</v>
      </c>
      <c r="T91" s="3">
        <v>228.15</v>
      </c>
      <c r="U91" s="3">
        <v>19.98</v>
      </c>
      <c r="V91" s="3">
        <v>17.75</v>
      </c>
      <c r="W91" s="3">
        <v>41.0</v>
      </c>
      <c r="X91" s="3">
        <v>19.91</v>
      </c>
      <c r="Y91" s="3">
        <v>16.0</v>
      </c>
      <c r="Z91" s="3">
        <v>13.0</v>
      </c>
      <c r="AA91" s="3">
        <v>17.97</v>
      </c>
      <c r="AB91" s="3">
        <v>26.74</v>
      </c>
      <c r="AC91" s="5"/>
    </row>
    <row r="92" ht="15.75" customHeight="1">
      <c r="A92" s="2" t="s">
        <v>95</v>
      </c>
      <c r="B92" s="3">
        <v>369.17</v>
      </c>
    </row>
    <row r="93" ht="15.75" customHeight="1">
      <c r="A93" s="2" t="s">
        <v>59</v>
      </c>
      <c r="B93" s="3">
        <v>100.0</v>
      </c>
    </row>
    <row r="94" ht="15.75" customHeight="1">
      <c r="A94" s="2" t="s">
        <v>121</v>
      </c>
      <c r="B94" s="3">
        <v>24.98</v>
      </c>
      <c r="C94" s="3">
        <v>68.37</v>
      </c>
      <c r="D94" s="3">
        <v>60.0</v>
      </c>
    </row>
    <row r="95" ht="15.75" customHeight="1">
      <c r="A95" s="2" t="s">
        <v>143</v>
      </c>
      <c r="B95" s="3">
        <v>49.99</v>
      </c>
      <c r="C95" s="3">
        <v>7.99</v>
      </c>
      <c r="D95" s="3">
        <v>12.99</v>
      </c>
      <c r="E95" s="3">
        <v>6.99</v>
      </c>
    </row>
    <row r="96" ht="15.75" customHeight="1">
      <c r="A96" s="2" t="s">
        <v>144</v>
      </c>
      <c r="B96" s="3">
        <v>100.0</v>
      </c>
      <c r="C96" s="3"/>
    </row>
    <row r="97" ht="15.75" customHeight="1">
      <c r="A97" s="2" t="s">
        <v>145</v>
      </c>
      <c r="B97" s="3">
        <v>25.0</v>
      </c>
    </row>
    <row r="98" ht="15.75" customHeight="1">
      <c r="A98" s="2" t="s">
        <v>146</v>
      </c>
      <c r="B98" s="3">
        <v>10.0</v>
      </c>
    </row>
    <row r="99" ht="15.75" customHeight="1">
      <c r="A99" s="4" t="s">
        <v>2</v>
      </c>
      <c r="B99" s="4">
        <v>1862.87</v>
      </c>
    </row>
    <row r="100" ht="15.75" customHeight="1">
      <c r="A100" s="1">
        <v>41640.0</v>
      </c>
    </row>
    <row r="101" ht="15.75" customHeight="1">
      <c r="A101" s="2" t="s">
        <v>0</v>
      </c>
      <c r="B101" s="3">
        <v>11.37</v>
      </c>
      <c r="C101" s="3">
        <v>11.32</v>
      </c>
      <c r="D101" s="3">
        <v>32.7</v>
      </c>
      <c r="E101" s="3">
        <v>21.67</v>
      </c>
      <c r="F101" s="3">
        <v>45.96</v>
      </c>
      <c r="G101" s="3">
        <v>59.7</v>
      </c>
      <c r="H101" s="3">
        <v>42.25</v>
      </c>
      <c r="I101" s="3">
        <v>117.5</v>
      </c>
      <c r="J101" s="3">
        <v>228.15</v>
      </c>
      <c r="K101" s="3">
        <v>19.73</v>
      </c>
      <c r="L101" s="3">
        <v>29.34</v>
      </c>
      <c r="M101" s="3">
        <v>17.0</v>
      </c>
      <c r="N101" s="3">
        <v>8.87</v>
      </c>
      <c r="O101" s="3">
        <v>5.95</v>
      </c>
      <c r="P101" s="3">
        <v>118.09</v>
      </c>
      <c r="Q101" s="3">
        <v>48.85</v>
      </c>
      <c r="R101" s="3">
        <v>39.99</v>
      </c>
      <c r="S101" s="3">
        <v>14.9</v>
      </c>
      <c r="T101" s="3">
        <v>15.0</v>
      </c>
      <c r="U101" s="3">
        <v>9.9</v>
      </c>
      <c r="V101" s="3">
        <v>22.63</v>
      </c>
      <c r="W101" s="3">
        <v>22.29</v>
      </c>
    </row>
    <row r="102" ht="15.75" customHeight="1">
      <c r="A102" s="2" t="s">
        <v>147</v>
      </c>
      <c r="B102" s="3">
        <v>369.17</v>
      </c>
    </row>
    <row r="103" ht="15.75" customHeight="1">
      <c r="A103" s="2" t="s">
        <v>59</v>
      </c>
      <c r="B103" s="3">
        <v>150.0</v>
      </c>
    </row>
    <row r="104" ht="15.75" customHeight="1">
      <c r="A104" s="2" t="s">
        <v>56</v>
      </c>
      <c r="B104" s="3">
        <v>70.0</v>
      </c>
    </row>
    <row r="105" ht="15.75" customHeight="1">
      <c r="A105" s="2" t="s">
        <v>148</v>
      </c>
      <c r="B105" s="3">
        <v>9.0</v>
      </c>
    </row>
    <row r="106" ht="15.75" customHeight="1">
      <c r="A106" s="2" t="s">
        <v>149</v>
      </c>
      <c r="B106" s="3">
        <v>16.0</v>
      </c>
    </row>
    <row r="107" ht="15.75" customHeight="1">
      <c r="A107" s="12" t="s">
        <v>150</v>
      </c>
      <c r="B107" s="12">
        <v>15.0</v>
      </c>
    </row>
    <row r="108" ht="15.75" customHeight="1">
      <c r="A108" s="4" t="s">
        <v>2</v>
      </c>
      <c r="B108" s="4">
        <v>1572.33</v>
      </c>
    </row>
    <row r="109" ht="15.75" customHeight="1"/>
    <row r="110" ht="15.75" customHeight="1">
      <c r="A110" s="1">
        <v>41671.0</v>
      </c>
    </row>
    <row r="111" ht="15.75" customHeight="1">
      <c r="A111" s="2" t="s">
        <v>0</v>
      </c>
      <c r="B111" s="3">
        <v>11.32</v>
      </c>
      <c r="C111" s="3">
        <v>11.34</v>
      </c>
      <c r="D111" s="3">
        <v>21.67</v>
      </c>
      <c r="E111" s="3">
        <v>45.96</v>
      </c>
      <c r="F111" s="3">
        <v>42.51</v>
      </c>
      <c r="G111" s="3">
        <v>228.15</v>
      </c>
      <c r="H111" s="3">
        <v>36.62</v>
      </c>
      <c r="I111" s="3">
        <v>48.85</v>
      </c>
      <c r="J111" s="3">
        <v>22.63</v>
      </c>
      <c r="K111" s="3">
        <v>22.29</v>
      </c>
      <c r="L111" s="3">
        <v>1699.0</v>
      </c>
      <c r="M111" s="3">
        <v>283.5</v>
      </c>
      <c r="N111" s="3">
        <v>43.77</v>
      </c>
      <c r="O111" s="3">
        <v>14.49</v>
      </c>
      <c r="P111" s="3">
        <v>72.2</v>
      </c>
      <c r="Q111" s="3">
        <v>70.19</v>
      </c>
      <c r="R111" s="3">
        <v>28.5</v>
      </c>
      <c r="S111" s="3">
        <v>120.49</v>
      </c>
      <c r="U111" s="3"/>
    </row>
    <row r="112" ht="15.75" customHeight="1">
      <c r="A112" s="2" t="s">
        <v>147</v>
      </c>
      <c r="B112" s="3">
        <v>369.17</v>
      </c>
    </row>
    <row r="113" ht="15.75" customHeight="1">
      <c r="A113" s="2" t="s">
        <v>59</v>
      </c>
      <c r="B113" s="3">
        <v>100.0</v>
      </c>
    </row>
    <row r="114" ht="15.75" customHeight="1">
      <c r="A114" s="12" t="s">
        <v>150</v>
      </c>
      <c r="B114" s="12">
        <v>15.0</v>
      </c>
    </row>
    <row r="115" ht="15.75" customHeight="1">
      <c r="A115" s="2" t="s">
        <v>121</v>
      </c>
      <c r="B115" s="3">
        <v>65.75</v>
      </c>
    </row>
    <row r="116" ht="15.75" customHeight="1">
      <c r="A116" s="2" t="s">
        <v>151</v>
      </c>
      <c r="B116" s="3">
        <v>46.5</v>
      </c>
    </row>
    <row r="117" ht="15.75" customHeight="1"/>
    <row r="118" ht="15.75" customHeight="1">
      <c r="A118" s="4" t="s">
        <v>2</v>
      </c>
      <c r="B118" s="4">
        <v>3419.9</v>
      </c>
    </row>
    <row r="119" ht="15.75" customHeight="1"/>
    <row r="120" ht="15.75" customHeight="1">
      <c r="A120" s="1">
        <v>41699.0</v>
      </c>
    </row>
    <row r="121" ht="15.75" customHeight="1">
      <c r="A121" s="2" t="s">
        <v>0</v>
      </c>
      <c r="B121" s="3">
        <v>11.38</v>
      </c>
      <c r="C121" s="3">
        <v>45.96</v>
      </c>
      <c r="D121" s="3">
        <v>42.51</v>
      </c>
      <c r="E121" s="3">
        <v>228.15</v>
      </c>
      <c r="F121" s="3">
        <v>36.62</v>
      </c>
      <c r="G121" s="3">
        <v>22.63</v>
      </c>
      <c r="H121" s="3">
        <v>22.29</v>
      </c>
      <c r="I121" s="3">
        <v>283.5</v>
      </c>
      <c r="J121" s="3">
        <v>9.9</v>
      </c>
      <c r="K121" s="3">
        <v>38.0</v>
      </c>
      <c r="L121" s="3">
        <v>8.45</v>
      </c>
      <c r="M121" s="3">
        <v>24.3</v>
      </c>
      <c r="N121" s="3">
        <v>11.1</v>
      </c>
      <c r="O121" s="3">
        <v>4.5</v>
      </c>
      <c r="P121" s="3">
        <v>6.5</v>
      </c>
      <c r="Q121" s="3">
        <v>34.75</v>
      </c>
      <c r="R121" s="3">
        <v>18.0</v>
      </c>
      <c r="T121" s="3">
        <v>848.54</v>
      </c>
    </row>
    <row r="122" ht="15.75" customHeight="1">
      <c r="A122" s="2" t="s">
        <v>147</v>
      </c>
      <c r="B122" s="3">
        <v>369.17</v>
      </c>
    </row>
    <row r="123" ht="15.75" customHeight="1">
      <c r="A123" s="2" t="s">
        <v>59</v>
      </c>
      <c r="B123" s="3">
        <v>114.0</v>
      </c>
    </row>
    <row r="124" ht="15.75" customHeight="1">
      <c r="A124" s="2" t="s">
        <v>142</v>
      </c>
      <c r="B124" s="3">
        <v>12.99</v>
      </c>
    </row>
    <row r="125" ht="15.75" customHeight="1">
      <c r="A125" s="12" t="s">
        <v>150</v>
      </c>
      <c r="B125" s="12">
        <v>15.0</v>
      </c>
    </row>
    <row r="126" ht="15.75" customHeight="1">
      <c r="B126" s="3"/>
    </row>
    <row r="127" ht="15.75" customHeight="1"/>
    <row r="128" ht="15.75" customHeight="1">
      <c r="A128" s="4" t="s">
        <v>2</v>
      </c>
      <c r="B128" s="4">
        <v>1359.7</v>
      </c>
    </row>
    <row r="129" ht="15.75" customHeight="1"/>
    <row r="130" ht="15.75" customHeight="1">
      <c r="A130" s="1">
        <v>41730.0</v>
      </c>
    </row>
    <row r="131" ht="15.75" customHeight="1">
      <c r="A131" s="2" t="s">
        <v>0</v>
      </c>
      <c r="B131" s="3">
        <v>283.5</v>
      </c>
      <c r="C131" s="3">
        <v>22.29</v>
      </c>
      <c r="D131" s="3">
        <v>54.99</v>
      </c>
      <c r="E131" s="3">
        <v>7.5</v>
      </c>
      <c r="F131" s="3">
        <v>18.0</v>
      </c>
      <c r="G131" s="3">
        <v>121.76</v>
      </c>
      <c r="H131" s="3">
        <v>46.06</v>
      </c>
      <c r="I131" s="3">
        <v>64.67</v>
      </c>
      <c r="J131" s="3">
        <v>40.45</v>
      </c>
      <c r="K131" s="3">
        <v>31.0</v>
      </c>
      <c r="L131" s="3">
        <v>31.78</v>
      </c>
      <c r="M131" s="3">
        <v>19.45</v>
      </c>
      <c r="N131" s="3">
        <v>30.0</v>
      </c>
      <c r="O131" s="3">
        <v>20.53</v>
      </c>
      <c r="P131" s="3">
        <v>21.33</v>
      </c>
      <c r="Q131" s="3">
        <v>22.04</v>
      </c>
      <c r="R131" s="3">
        <v>19.01</v>
      </c>
      <c r="T131" s="3">
        <v>854.36</v>
      </c>
    </row>
    <row r="132" ht="15.75" customHeight="1">
      <c r="A132" s="2" t="s">
        <v>147</v>
      </c>
      <c r="B132" s="3">
        <v>369.17</v>
      </c>
    </row>
    <row r="133" ht="15.75" customHeight="1">
      <c r="A133" s="2" t="s">
        <v>152</v>
      </c>
      <c r="B133" s="3">
        <v>46.0</v>
      </c>
    </row>
    <row r="134" ht="15.75" customHeight="1">
      <c r="A134" s="2" t="s">
        <v>59</v>
      </c>
      <c r="B134" s="3">
        <v>102.2</v>
      </c>
    </row>
    <row r="135" ht="15.75" customHeight="1">
      <c r="A135" s="12" t="s">
        <v>150</v>
      </c>
      <c r="B135" s="12">
        <v>15.0</v>
      </c>
    </row>
    <row r="136" ht="15.75" customHeight="1"/>
    <row r="137" ht="15.75" customHeight="1"/>
    <row r="138" ht="15.75" customHeight="1">
      <c r="A138" s="4" t="s">
        <v>2</v>
      </c>
      <c r="B138" s="4">
        <v>1386.73</v>
      </c>
    </row>
    <row r="139" ht="15.75" customHeight="1"/>
    <row r="140" ht="15.75" customHeight="1">
      <c r="A140" s="1">
        <v>41760.0</v>
      </c>
    </row>
    <row r="141" ht="15.75" customHeight="1">
      <c r="A141" s="2" t="s">
        <v>0</v>
      </c>
      <c r="B141" s="3">
        <v>22.29</v>
      </c>
      <c r="C141" s="3">
        <v>283.5</v>
      </c>
      <c r="D141" s="3">
        <v>54.99</v>
      </c>
      <c r="E141" s="3">
        <v>19.01</v>
      </c>
      <c r="F141" s="3">
        <v>4.99</v>
      </c>
      <c r="G141" s="3">
        <v>118.59</v>
      </c>
      <c r="H141" s="3">
        <v>54.95</v>
      </c>
      <c r="I141" s="3">
        <v>6.9</v>
      </c>
      <c r="J141" s="3">
        <v>50.0</v>
      </c>
      <c r="K141" s="3">
        <v>34.95</v>
      </c>
      <c r="L141" s="3">
        <v>22.78</v>
      </c>
      <c r="M141" s="3">
        <v>47.37</v>
      </c>
      <c r="N141" s="3">
        <v>49.9</v>
      </c>
      <c r="O141" s="3">
        <v>6.0</v>
      </c>
    </row>
    <row r="142" ht="15.75" customHeight="1">
      <c r="A142" s="2" t="s">
        <v>147</v>
      </c>
      <c r="B142" s="3">
        <v>369.17</v>
      </c>
    </row>
    <row r="143" ht="15.75" customHeight="1">
      <c r="A143" s="2" t="s">
        <v>121</v>
      </c>
      <c r="B143" s="3">
        <v>53.83</v>
      </c>
      <c r="C143" s="3">
        <v>58.68</v>
      </c>
      <c r="D143" s="3">
        <v>30.0</v>
      </c>
    </row>
    <row r="144" ht="15.75" customHeight="1">
      <c r="A144" s="2" t="s">
        <v>59</v>
      </c>
      <c r="B144" s="3">
        <v>104.0</v>
      </c>
    </row>
    <row r="145" ht="15.75" customHeight="1">
      <c r="A145" s="12" t="s">
        <v>153</v>
      </c>
      <c r="B145" s="12">
        <v>15.0</v>
      </c>
    </row>
    <row r="146" ht="15.75" customHeight="1"/>
    <row r="147" ht="15.75" customHeight="1"/>
    <row r="148" ht="15.75" customHeight="1">
      <c r="A148" s="4" t="s">
        <v>2</v>
      </c>
      <c r="B148" s="4">
        <v>1406.9</v>
      </c>
    </row>
    <row r="149" ht="15.75" customHeight="1"/>
    <row r="150" ht="15.75" customHeight="1">
      <c r="A150" s="1">
        <v>41791.0</v>
      </c>
    </row>
    <row r="151" ht="15.75" customHeight="1">
      <c r="A151" s="2" t="s">
        <v>0</v>
      </c>
      <c r="B151" s="3">
        <v>283.5</v>
      </c>
      <c r="C151" s="3">
        <v>19.0</v>
      </c>
      <c r="D151" s="3">
        <v>54.95</v>
      </c>
      <c r="E151" s="3">
        <v>34.95</v>
      </c>
      <c r="F151" s="3">
        <v>26.8</v>
      </c>
      <c r="G151" s="3">
        <v>36.0</v>
      </c>
      <c r="H151" s="3">
        <v>40.18</v>
      </c>
      <c r="I151" s="3">
        <v>98.05</v>
      </c>
      <c r="J151" s="3">
        <v>40.45</v>
      </c>
      <c r="K151" s="3">
        <v>24.0</v>
      </c>
      <c r="L151" s="3">
        <v>20.0</v>
      </c>
      <c r="M151" s="3">
        <v>49.9</v>
      </c>
      <c r="N151" s="3">
        <v>13.4</v>
      </c>
      <c r="O151" s="3">
        <v>125.83</v>
      </c>
      <c r="Q151" s="3">
        <v>867.01</v>
      </c>
    </row>
    <row r="152" ht="15.75" customHeight="1">
      <c r="A152" s="2" t="s">
        <v>147</v>
      </c>
      <c r="B152" s="3">
        <v>369.17</v>
      </c>
      <c r="C152" s="3">
        <v>485.0</v>
      </c>
      <c r="D152" s="3">
        <v>469.0</v>
      </c>
    </row>
    <row r="153" ht="15.75" customHeight="1">
      <c r="A153" s="2" t="s">
        <v>59</v>
      </c>
      <c r="B153" s="3">
        <v>100.0</v>
      </c>
    </row>
    <row r="154" ht="15.75" customHeight="1">
      <c r="A154" s="2" t="s">
        <v>142</v>
      </c>
      <c r="B154" s="3">
        <v>81.89</v>
      </c>
    </row>
    <row r="155" ht="15.75" customHeight="1">
      <c r="A155" s="2" t="s">
        <v>133</v>
      </c>
      <c r="B155" s="3">
        <v>54.0</v>
      </c>
    </row>
    <row r="156" ht="15.75" customHeight="1">
      <c r="A156" s="2" t="s">
        <v>123</v>
      </c>
      <c r="B156" s="3">
        <v>32.0</v>
      </c>
    </row>
    <row r="157" ht="15.75" customHeight="1">
      <c r="A157" s="2" t="s">
        <v>154</v>
      </c>
      <c r="B157" s="3">
        <v>20.0</v>
      </c>
    </row>
    <row r="158" ht="15.75" customHeight="1">
      <c r="A158" s="12" t="s">
        <v>150</v>
      </c>
      <c r="B158" s="12">
        <v>15.0</v>
      </c>
    </row>
    <row r="159" ht="15.75" customHeight="1">
      <c r="A159" s="4" t="s">
        <v>2</v>
      </c>
      <c r="B159" s="4">
        <v>2493.07</v>
      </c>
    </row>
    <row r="160" ht="15.75" customHeight="1">
      <c r="A160" s="1">
        <v>41821.0</v>
      </c>
    </row>
    <row r="161" ht="15.75" customHeight="1">
      <c r="A161" s="2" t="s">
        <v>0</v>
      </c>
      <c r="B161" s="3">
        <v>283.5</v>
      </c>
      <c r="C161" s="3">
        <v>19.01</v>
      </c>
      <c r="D161" s="3">
        <v>36.0</v>
      </c>
      <c r="E161" s="3">
        <v>40.45</v>
      </c>
      <c r="F161" s="3">
        <v>46.34</v>
      </c>
      <c r="G161" s="3">
        <v>12.89</v>
      </c>
      <c r="H161" s="3">
        <v>29.46</v>
      </c>
      <c r="I161" s="3">
        <v>9.5</v>
      </c>
      <c r="J161" s="3">
        <v>22.0</v>
      </c>
      <c r="K161" s="3">
        <v>46.0</v>
      </c>
      <c r="L161" s="3">
        <v>30.0</v>
      </c>
      <c r="M161" s="3">
        <v>10.19</v>
      </c>
    </row>
    <row r="162" ht="15.75" customHeight="1">
      <c r="A162" s="2" t="s">
        <v>147</v>
      </c>
      <c r="B162" s="3">
        <v>369.17</v>
      </c>
      <c r="D162" s="2" t="s">
        <v>54</v>
      </c>
      <c r="E162" s="3">
        <v>13.0</v>
      </c>
    </row>
    <row r="163" ht="15.75" customHeight="1">
      <c r="A163" s="12" t="s">
        <v>150</v>
      </c>
      <c r="B163" s="12">
        <v>150.0</v>
      </c>
      <c r="C163" s="12">
        <v>15.0</v>
      </c>
    </row>
    <row r="164" ht="15.75" customHeight="1">
      <c r="A164" s="2" t="s">
        <v>59</v>
      </c>
      <c r="B164" s="3">
        <v>90.0</v>
      </c>
    </row>
    <row r="165" ht="15.75" customHeight="1">
      <c r="A165" s="2" t="s">
        <v>133</v>
      </c>
      <c r="B165" s="3">
        <v>54.0</v>
      </c>
      <c r="D165" s="2" t="s">
        <v>143</v>
      </c>
      <c r="E165" s="3">
        <v>12.0</v>
      </c>
    </row>
    <row r="166" ht="15.75" customHeight="1">
      <c r="A166" s="2" t="s">
        <v>142</v>
      </c>
      <c r="B166" s="3">
        <v>24.12</v>
      </c>
      <c r="D166" s="2" t="s">
        <v>124</v>
      </c>
      <c r="E166" s="3">
        <v>9.0</v>
      </c>
      <c r="F166" s="3">
        <v>10.0</v>
      </c>
    </row>
    <row r="167" ht="15.75" customHeight="1">
      <c r="A167" s="2" t="s">
        <v>123</v>
      </c>
      <c r="B167" s="3">
        <v>30.0</v>
      </c>
      <c r="D167" s="2" t="s">
        <v>125</v>
      </c>
      <c r="E167" s="3">
        <v>28.0</v>
      </c>
    </row>
    <row r="168" ht="15.75" customHeight="1">
      <c r="A168" s="2" t="s">
        <v>155</v>
      </c>
      <c r="B168" s="3">
        <v>35.3</v>
      </c>
      <c r="D168" s="2" t="s">
        <v>156</v>
      </c>
      <c r="E168" s="3">
        <v>36.0</v>
      </c>
    </row>
    <row r="169" ht="15.75" customHeight="1">
      <c r="A169" s="4" t="s">
        <v>2</v>
      </c>
      <c r="B169" s="4">
        <v>1460.93</v>
      </c>
    </row>
    <row r="170" ht="15.75" customHeight="1">
      <c r="A170" s="1">
        <v>41852.0</v>
      </c>
      <c r="D170" s="2" t="s">
        <v>138</v>
      </c>
    </row>
    <row r="171" ht="15.75" customHeight="1">
      <c r="A171" s="2" t="s">
        <v>0</v>
      </c>
      <c r="B171" s="3">
        <v>283.5</v>
      </c>
      <c r="C171" s="3">
        <v>19.01</v>
      </c>
      <c r="D171" s="3">
        <v>36.0</v>
      </c>
      <c r="E171" s="3">
        <v>40.45</v>
      </c>
      <c r="F171" s="3">
        <v>46.34</v>
      </c>
      <c r="G171" s="3">
        <v>29.46</v>
      </c>
      <c r="H171" s="3">
        <v>19.3</v>
      </c>
      <c r="I171" s="3">
        <v>5.25</v>
      </c>
      <c r="J171" s="3">
        <v>119.01</v>
      </c>
      <c r="K171" s="3">
        <v>6.99</v>
      </c>
      <c r="L171" s="3">
        <v>28.0</v>
      </c>
      <c r="M171" s="3">
        <v>12.0</v>
      </c>
      <c r="N171" s="3">
        <v>7.89</v>
      </c>
      <c r="O171" s="3">
        <v>35.34</v>
      </c>
      <c r="P171" s="3">
        <v>18.0</v>
      </c>
      <c r="Q171" s="3">
        <v>20.43</v>
      </c>
      <c r="R171" s="3">
        <v>47.85</v>
      </c>
      <c r="T171" s="3"/>
      <c r="U171" s="3"/>
    </row>
    <row r="172" ht="15.75" customHeight="1">
      <c r="A172" s="2" t="s">
        <v>147</v>
      </c>
      <c r="B172" s="3">
        <v>369.17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ht="15.75" customHeight="1">
      <c r="A173" s="12" t="s">
        <v>150</v>
      </c>
      <c r="B173" s="12">
        <v>200.0</v>
      </c>
      <c r="C173" s="12">
        <v>15.0</v>
      </c>
    </row>
    <row r="174" ht="15.75" customHeight="1">
      <c r="A174" s="2" t="s">
        <v>56</v>
      </c>
      <c r="B174" s="3">
        <v>35.0</v>
      </c>
    </row>
    <row r="175" ht="15.75" customHeight="1">
      <c r="A175" s="2" t="s">
        <v>155</v>
      </c>
      <c r="B175" s="3">
        <v>35.3</v>
      </c>
    </row>
    <row r="176" ht="15.75" customHeight="1">
      <c r="A176" s="2" t="s">
        <v>142</v>
      </c>
      <c r="B176" s="3">
        <v>49.6</v>
      </c>
      <c r="C176" s="3">
        <v>18.7</v>
      </c>
    </row>
    <row r="177" ht="15.75" customHeight="1">
      <c r="A177" s="2" t="s">
        <v>59</v>
      </c>
      <c r="B177" s="3">
        <v>50.0</v>
      </c>
    </row>
    <row r="178" ht="15.75" customHeight="1">
      <c r="A178" s="4" t="s">
        <v>2</v>
      </c>
      <c r="B178" s="4">
        <v>1547.59</v>
      </c>
    </row>
    <row r="179" ht="15.75" customHeight="1"/>
    <row r="180" ht="15.75" customHeight="1">
      <c r="A180" s="1">
        <v>41883.0</v>
      </c>
      <c r="D180" s="2" t="s">
        <v>138</v>
      </c>
    </row>
    <row r="181" ht="15.75" customHeight="1">
      <c r="A181" s="2" t="s">
        <v>0</v>
      </c>
      <c r="B181" s="3">
        <v>283.5</v>
      </c>
      <c r="C181" s="3">
        <v>41.97</v>
      </c>
      <c r="D181" s="3">
        <v>36.0</v>
      </c>
      <c r="E181" s="3">
        <v>40.45</v>
      </c>
      <c r="F181" s="3">
        <v>46.34</v>
      </c>
      <c r="G181" s="3">
        <v>29.46</v>
      </c>
      <c r="H181" s="3">
        <v>47.85</v>
      </c>
      <c r="I181" s="3">
        <v>38.56</v>
      </c>
      <c r="J181" s="3">
        <v>46.5</v>
      </c>
      <c r="K181" s="3">
        <v>38.8</v>
      </c>
      <c r="L181" s="3">
        <v>44.95</v>
      </c>
      <c r="M181" s="3">
        <v>28.98</v>
      </c>
      <c r="N181" s="3">
        <v>86.09</v>
      </c>
      <c r="O181" s="3">
        <v>20.0</v>
      </c>
      <c r="P181" s="3">
        <v>17.02</v>
      </c>
      <c r="Q181" s="3"/>
      <c r="S181" s="2">
        <v>846.47</v>
      </c>
      <c r="T181" s="2">
        <v>810.47</v>
      </c>
    </row>
    <row r="182" ht="15.75" customHeight="1">
      <c r="A182" s="2" t="s">
        <v>147</v>
      </c>
      <c r="B182" s="3">
        <v>369.17</v>
      </c>
    </row>
    <row r="183" ht="15.75" customHeight="1">
      <c r="A183" s="12" t="s">
        <v>150</v>
      </c>
      <c r="B183" s="12">
        <v>15.0</v>
      </c>
      <c r="C183" s="12"/>
    </row>
    <row r="184" ht="15.75" customHeight="1">
      <c r="A184" s="2" t="s">
        <v>57</v>
      </c>
      <c r="B184" s="3">
        <v>14.7</v>
      </c>
      <c r="C184" s="12"/>
    </row>
    <row r="185" ht="15.75" customHeight="1">
      <c r="A185" s="2" t="s">
        <v>155</v>
      </c>
      <c r="B185" s="3">
        <v>35.3</v>
      </c>
      <c r="C185" s="12"/>
    </row>
    <row r="186" ht="15.75" customHeight="1">
      <c r="A186" s="2" t="s">
        <v>59</v>
      </c>
      <c r="B186" s="3">
        <v>100.0</v>
      </c>
      <c r="C186" s="12"/>
      <c r="D186" s="2" t="s">
        <v>125</v>
      </c>
      <c r="E186" s="3">
        <v>28.0</v>
      </c>
    </row>
    <row r="187" ht="15.75" customHeight="1">
      <c r="A187" s="2" t="s">
        <v>157</v>
      </c>
      <c r="B187" s="3">
        <v>64.61</v>
      </c>
      <c r="C187" s="3">
        <v>58.28</v>
      </c>
      <c r="D187" s="2" t="s">
        <v>158</v>
      </c>
      <c r="E187" s="3">
        <v>123.0</v>
      </c>
    </row>
    <row r="188" ht="15.75" customHeight="1">
      <c r="A188" s="2" t="s">
        <v>149</v>
      </c>
      <c r="B188" s="3">
        <v>23.5</v>
      </c>
      <c r="C188" s="12"/>
      <c r="D188" s="2" t="s">
        <v>123</v>
      </c>
      <c r="E188" s="3">
        <v>63.0</v>
      </c>
    </row>
    <row r="189" ht="15.75" customHeight="1">
      <c r="A189" s="4" t="s">
        <v>2</v>
      </c>
      <c r="B189" s="4">
        <v>1741.03</v>
      </c>
      <c r="C189" s="12"/>
    </row>
    <row r="190" ht="15.75" customHeight="1">
      <c r="A190" s="1">
        <v>41913.0</v>
      </c>
      <c r="C190" s="12"/>
    </row>
    <row r="191" ht="15.75" customHeight="1">
      <c r="A191" s="2" t="s">
        <v>0</v>
      </c>
      <c r="B191" s="3">
        <v>283.5</v>
      </c>
      <c r="C191" s="3">
        <v>47.85</v>
      </c>
      <c r="D191" s="3">
        <v>21.85</v>
      </c>
      <c r="E191" s="3">
        <v>43.0</v>
      </c>
      <c r="F191" s="3">
        <v>111.48</v>
      </c>
      <c r="G191" s="3">
        <v>9.48</v>
      </c>
      <c r="H191" s="3">
        <v>8.0</v>
      </c>
      <c r="I191" s="3">
        <v>12.0</v>
      </c>
      <c r="J191" s="3">
        <v>12.65</v>
      </c>
    </row>
    <row r="192" ht="15.75" customHeight="1">
      <c r="A192" s="2" t="s">
        <v>147</v>
      </c>
      <c r="B192" s="3">
        <v>369.17</v>
      </c>
      <c r="C192" s="3">
        <v>82.5</v>
      </c>
    </row>
    <row r="193" ht="15.75" customHeight="1">
      <c r="A193" s="12" t="s">
        <v>150</v>
      </c>
      <c r="B193" s="12">
        <v>15.0</v>
      </c>
      <c r="C193" s="12"/>
    </row>
    <row r="194" ht="15.75" customHeight="1">
      <c r="A194" s="2" t="s">
        <v>59</v>
      </c>
      <c r="B194" s="3">
        <v>149.5</v>
      </c>
      <c r="C194" s="12"/>
    </row>
    <row r="195" ht="15.75" customHeight="1">
      <c r="A195" s="2" t="s">
        <v>155</v>
      </c>
      <c r="B195" s="3">
        <v>35.5</v>
      </c>
      <c r="C195" s="3">
        <v>28.0</v>
      </c>
      <c r="D195" s="3">
        <v>35.3</v>
      </c>
      <c r="E195" s="3">
        <v>26.5</v>
      </c>
      <c r="F195" s="3">
        <v>50.6</v>
      </c>
    </row>
    <row r="196" ht="15.75" customHeight="1">
      <c r="A196" s="2" t="s">
        <v>57</v>
      </c>
      <c r="B196" s="3">
        <v>14.7</v>
      </c>
      <c r="C196" s="12"/>
    </row>
    <row r="197" ht="15.75" customHeight="1">
      <c r="A197" s="2" t="s">
        <v>157</v>
      </c>
      <c r="B197" s="3">
        <v>65.88</v>
      </c>
    </row>
    <row r="198" ht="15.75" customHeight="1">
      <c r="A198" s="2" t="s">
        <v>123</v>
      </c>
      <c r="B198" s="3">
        <v>80.0</v>
      </c>
      <c r="C198" s="12"/>
      <c r="D198" s="2" t="s">
        <v>159</v>
      </c>
      <c r="E198" s="3">
        <v>50.0</v>
      </c>
      <c r="G198" s="2" t="s">
        <v>160</v>
      </c>
      <c r="H198" s="3">
        <v>7.0</v>
      </c>
      <c r="I198" s="2" t="s">
        <v>58</v>
      </c>
      <c r="J198" s="3">
        <v>12.7</v>
      </c>
    </row>
    <row r="199" ht="15.75" customHeight="1">
      <c r="A199" s="4" t="s">
        <v>2</v>
      </c>
      <c r="B199" s="4">
        <v>1572.16</v>
      </c>
      <c r="C199" s="12"/>
    </row>
    <row r="200" ht="15.75" customHeight="1">
      <c r="A200" s="1">
        <v>41944.0</v>
      </c>
      <c r="C200" s="12"/>
    </row>
    <row r="201" ht="15.75" customHeight="1">
      <c r="A201" s="3" t="s">
        <v>0</v>
      </c>
      <c r="B201" s="3">
        <v>283.5</v>
      </c>
      <c r="C201" s="3">
        <v>8.01</v>
      </c>
      <c r="D201" s="3">
        <v>35.12</v>
      </c>
      <c r="E201" s="3">
        <v>13.14</v>
      </c>
      <c r="F201" s="3">
        <v>24.9</v>
      </c>
      <c r="G201" s="3">
        <v>12.0</v>
      </c>
      <c r="H201" s="3">
        <v>15.0</v>
      </c>
      <c r="I201" s="3">
        <v>31.5</v>
      </c>
      <c r="J201" s="3">
        <v>25.85</v>
      </c>
      <c r="K201" s="3">
        <v>34.5</v>
      </c>
      <c r="L201" s="3">
        <v>120.09</v>
      </c>
      <c r="M201" s="3">
        <v>20.75</v>
      </c>
    </row>
    <row r="202" ht="15.75" customHeight="1">
      <c r="A202" s="2" t="s">
        <v>147</v>
      </c>
      <c r="B202" s="3">
        <v>738.34</v>
      </c>
      <c r="C202" s="3">
        <v>82.5</v>
      </c>
    </row>
    <row r="203" ht="15.75" customHeight="1">
      <c r="A203" s="12" t="s">
        <v>150</v>
      </c>
      <c r="B203" s="12">
        <v>15.0</v>
      </c>
      <c r="C203" s="12"/>
    </row>
    <row r="204" ht="15.75" customHeight="1">
      <c r="A204" s="2" t="s">
        <v>157</v>
      </c>
      <c r="B204" s="3">
        <v>47.9</v>
      </c>
      <c r="C204" s="3">
        <v>12.99</v>
      </c>
    </row>
    <row r="205" ht="15.75" customHeight="1">
      <c r="A205" s="2" t="s">
        <v>123</v>
      </c>
      <c r="B205" s="3">
        <v>40.0</v>
      </c>
      <c r="D205" s="2" t="s">
        <v>149</v>
      </c>
      <c r="E205" s="3">
        <v>60.0</v>
      </c>
    </row>
    <row r="206" ht="15.75" customHeight="1">
      <c r="A206" s="2" t="s">
        <v>59</v>
      </c>
      <c r="B206" s="3">
        <v>225.5</v>
      </c>
      <c r="C206" s="12"/>
      <c r="D206" s="2" t="s">
        <v>125</v>
      </c>
      <c r="E206" s="3">
        <v>50.0</v>
      </c>
      <c r="F206" s="2" t="s">
        <v>161</v>
      </c>
      <c r="G206" s="2" t="s">
        <v>162</v>
      </c>
      <c r="H206" s="3">
        <v>12.0</v>
      </c>
    </row>
    <row r="207" ht="15.75" customHeight="1">
      <c r="A207" s="2" t="s">
        <v>155</v>
      </c>
      <c r="B207" s="3">
        <v>27.0</v>
      </c>
      <c r="C207" s="12"/>
      <c r="D207" s="2" t="s">
        <v>160</v>
      </c>
      <c r="E207" s="3">
        <v>19.9</v>
      </c>
      <c r="F207" s="3">
        <v>23.9</v>
      </c>
    </row>
    <row r="208" ht="15.75" customHeight="1">
      <c r="A208" s="4" t="s">
        <v>2</v>
      </c>
      <c r="B208" s="4">
        <v>1979.39</v>
      </c>
      <c r="C208" s="12"/>
    </row>
    <row r="209" ht="15.75" customHeight="1">
      <c r="C209" s="12"/>
      <c r="J209" s="3"/>
    </row>
    <row r="210" ht="15.75" customHeight="1">
      <c r="A210" s="1">
        <v>41974.0</v>
      </c>
      <c r="C210" s="12"/>
    </row>
    <row r="211" ht="15.75" customHeight="1">
      <c r="A211" s="2" t="s">
        <v>0</v>
      </c>
      <c r="B211" s="3">
        <v>8.01</v>
      </c>
      <c r="C211" s="3">
        <v>35.12</v>
      </c>
      <c r="D211" s="3">
        <v>25.85</v>
      </c>
      <c r="E211" s="3">
        <v>20.75</v>
      </c>
      <c r="F211" s="3">
        <v>18.6</v>
      </c>
      <c r="G211" s="3">
        <v>33.5</v>
      </c>
      <c r="H211" s="3">
        <v>33.8</v>
      </c>
      <c r="I211" s="3">
        <v>60.99</v>
      </c>
      <c r="J211" s="3">
        <v>17.88</v>
      </c>
      <c r="K211" s="3">
        <v>14.99</v>
      </c>
      <c r="L211" s="3">
        <v>24.67</v>
      </c>
      <c r="M211" s="3">
        <v>32.49</v>
      </c>
      <c r="N211" s="3">
        <v>19.0</v>
      </c>
      <c r="O211" s="3">
        <v>40.0</v>
      </c>
      <c r="P211" s="3">
        <v>37.97</v>
      </c>
      <c r="Q211" s="3">
        <v>29.1</v>
      </c>
      <c r="R211" s="3">
        <v>29.1</v>
      </c>
      <c r="S211" s="21"/>
      <c r="T211" s="21">
        <v>485.72</v>
      </c>
      <c r="U211" s="3"/>
    </row>
    <row r="212" ht="15.75" customHeight="1">
      <c r="A212" s="2" t="s">
        <v>147</v>
      </c>
      <c r="B212" s="3">
        <v>369.17</v>
      </c>
      <c r="C212" s="12"/>
    </row>
    <row r="213" ht="15.75" customHeight="1">
      <c r="A213" s="12" t="s">
        <v>150</v>
      </c>
      <c r="B213" s="12">
        <v>500.0</v>
      </c>
      <c r="C213" s="12">
        <v>15.0</v>
      </c>
    </row>
    <row r="214" ht="15.75" customHeight="1">
      <c r="A214" s="2" t="s">
        <v>133</v>
      </c>
      <c r="B214" s="3">
        <v>33.0</v>
      </c>
      <c r="C214" s="12"/>
      <c r="D214" s="2" t="s">
        <v>163</v>
      </c>
      <c r="E214" s="3">
        <v>64.9</v>
      </c>
    </row>
    <row r="215" ht="15.75" customHeight="1">
      <c r="A215" s="2" t="s">
        <v>164</v>
      </c>
      <c r="B215" s="3">
        <v>45.52</v>
      </c>
      <c r="C215" s="12"/>
      <c r="D215" s="2" t="s">
        <v>59</v>
      </c>
      <c r="E215" s="3">
        <v>231.3</v>
      </c>
    </row>
    <row r="216" ht="15.75" customHeight="1">
      <c r="A216" s="2" t="s">
        <v>162</v>
      </c>
      <c r="B216" s="3">
        <v>20.0</v>
      </c>
      <c r="C216" s="12"/>
    </row>
    <row r="217" ht="15.75" customHeight="1">
      <c r="A217" s="2" t="s">
        <v>165</v>
      </c>
      <c r="B217" s="3">
        <v>29.9</v>
      </c>
      <c r="C217" s="3">
        <v>9.99</v>
      </c>
    </row>
    <row r="218" ht="15.75" customHeight="1">
      <c r="A218" s="4" t="s">
        <v>2</v>
      </c>
      <c r="B218" s="4">
        <v>2286.32</v>
      </c>
      <c r="C218" s="12"/>
    </row>
    <row r="219" ht="15.75" customHeight="1">
      <c r="C219" s="12"/>
    </row>
    <row r="220" ht="15.75" customHeight="1">
      <c r="A220" s="1">
        <v>42005.0</v>
      </c>
    </row>
    <row r="221" ht="15.75" customHeight="1">
      <c r="A221" s="2" t="s">
        <v>0</v>
      </c>
      <c r="B221" s="3">
        <v>8.01</v>
      </c>
      <c r="C221" s="3">
        <v>35.12</v>
      </c>
      <c r="D221" s="3">
        <v>25.85</v>
      </c>
      <c r="E221" s="3">
        <v>20.75</v>
      </c>
      <c r="F221" s="3">
        <v>14.99</v>
      </c>
      <c r="G221" s="3">
        <v>32.49</v>
      </c>
      <c r="H221" s="3">
        <v>37.97</v>
      </c>
      <c r="I221" s="3">
        <v>60.99</v>
      </c>
      <c r="J221" s="3">
        <v>47.45</v>
      </c>
      <c r="K221" s="3">
        <v>24.5</v>
      </c>
      <c r="L221" s="3">
        <v>17.5</v>
      </c>
      <c r="M221" s="3">
        <v>33.0</v>
      </c>
      <c r="N221" s="3">
        <v>49.68</v>
      </c>
      <c r="O221" s="3">
        <v>14.99</v>
      </c>
      <c r="P221" s="3">
        <v>11.98</v>
      </c>
      <c r="Q221" s="3">
        <v>69.0</v>
      </c>
      <c r="R221" s="3">
        <v>28.7</v>
      </c>
      <c r="S221" s="3">
        <v>36.5</v>
      </c>
      <c r="T221" s="3">
        <v>15.0</v>
      </c>
      <c r="U221" s="3">
        <v>54.8</v>
      </c>
      <c r="V221" s="3">
        <v>37.45</v>
      </c>
      <c r="W221" s="3">
        <v>18.0</v>
      </c>
      <c r="X221" s="3">
        <v>34.96</v>
      </c>
      <c r="Y221" s="3">
        <v>62.9</v>
      </c>
      <c r="Z221" s="3">
        <v>34.49</v>
      </c>
      <c r="AA221" s="3"/>
      <c r="AB221" s="2">
        <v>827.07</v>
      </c>
    </row>
    <row r="222" ht="15.75" customHeight="1">
      <c r="A222" s="2" t="s">
        <v>147</v>
      </c>
      <c r="C222" s="12"/>
    </row>
    <row r="223" ht="15.75" customHeight="1">
      <c r="A223" s="12" t="s">
        <v>150</v>
      </c>
      <c r="B223" s="12">
        <v>500.0</v>
      </c>
      <c r="C223" s="12">
        <v>15.0</v>
      </c>
    </row>
    <row r="224" ht="15.75" customHeight="1">
      <c r="A224" s="2" t="s">
        <v>164</v>
      </c>
      <c r="B224" s="3">
        <v>46.78</v>
      </c>
      <c r="C224" s="12"/>
    </row>
    <row r="225" ht="15.75" customHeight="1">
      <c r="A225" s="2" t="s">
        <v>59</v>
      </c>
      <c r="B225" s="3">
        <v>14.9</v>
      </c>
      <c r="C225" s="3">
        <v>4.9</v>
      </c>
    </row>
    <row r="226" ht="15.75" customHeight="1">
      <c r="C226" s="12"/>
    </row>
    <row r="227" ht="15.75" customHeight="1">
      <c r="C227" s="12"/>
    </row>
    <row r="228" ht="15.75" customHeight="1">
      <c r="A228" s="4" t="s">
        <v>2</v>
      </c>
      <c r="B228" s="4">
        <v>2235.72</v>
      </c>
      <c r="C228" s="12"/>
    </row>
    <row r="229" ht="15.75" customHeight="1">
      <c r="C229" s="12"/>
    </row>
    <row r="230" ht="15.75" customHeight="1">
      <c r="A230" s="1">
        <v>42036.0</v>
      </c>
      <c r="C230" s="12"/>
    </row>
    <row r="231" ht="15.75" customHeight="1">
      <c r="A231" s="2" t="s">
        <v>0</v>
      </c>
      <c r="B231" s="3">
        <v>8.0</v>
      </c>
      <c r="C231" s="3">
        <v>35.12</v>
      </c>
      <c r="D231" s="3">
        <v>25.85</v>
      </c>
      <c r="E231" s="3">
        <v>20.75</v>
      </c>
      <c r="F231" s="3">
        <v>14.99</v>
      </c>
      <c r="G231" s="3">
        <v>47.45</v>
      </c>
      <c r="H231" s="3">
        <v>33.0</v>
      </c>
      <c r="I231" s="3">
        <v>49.68</v>
      </c>
      <c r="J231" s="3">
        <v>62.9</v>
      </c>
      <c r="K231" s="3">
        <v>17.92</v>
      </c>
      <c r="L231" s="3">
        <v>12.75</v>
      </c>
      <c r="M231" s="3">
        <v>18.95</v>
      </c>
      <c r="N231" s="3">
        <v>10.67</v>
      </c>
      <c r="O231" s="3">
        <v>6.55</v>
      </c>
      <c r="P231" s="3">
        <v>25.78</v>
      </c>
      <c r="Q231" s="3">
        <v>20.57</v>
      </c>
      <c r="R231" s="39"/>
      <c r="S231" s="3">
        <v>410.93</v>
      </c>
    </row>
    <row r="232" ht="15.75" customHeight="1">
      <c r="A232" s="2" t="s">
        <v>147</v>
      </c>
      <c r="B232" s="3">
        <v>369.17</v>
      </c>
      <c r="C232" s="3">
        <v>100.0</v>
      </c>
    </row>
    <row r="233" ht="15.75" customHeight="1">
      <c r="A233" s="12" t="s">
        <v>150</v>
      </c>
      <c r="B233" s="12">
        <v>350.0</v>
      </c>
      <c r="C233" s="12">
        <v>15.0</v>
      </c>
    </row>
    <row r="234" ht="15.75" customHeight="1">
      <c r="A234" s="2" t="s">
        <v>166</v>
      </c>
      <c r="B234" s="3">
        <v>10.0</v>
      </c>
      <c r="C234" s="12"/>
    </row>
    <row r="235" ht="15.75" customHeight="1">
      <c r="C235" s="12"/>
    </row>
    <row r="236" ht="15.75" customHeight="1">
      <c r="C236" s="12"/>
    </row>
    <row r="237" ht="15.75" customHeight="1">
      <c r="C237" s="12"/>
    </row>
    <row r="238" ht="15.75" customHeight="1">
      <c r="A238" s="4" t="s">
        <v>2</v>
      </c>
      <c r="B238" s="4">
        <v>1255.1</v>
      </c>
      <c r="C238" s="12"/>
    </row>
    <row r="239" ht="15.75" customHeight="1">
      <c r="C239" s="12"/>
    </row>
    <row r="240" ht="15.75" customHeight="1">
      <c r="A240" s="1">
        <v>42064.0</v>
      </c>
      <c r="C240" s="12"/>
    </row>
    <row r="241" ht="15.75" customHeight="1">
      <c r="A241" s="2" t="s">
        <v>0</v>
      </c>
      <c r="B241" s="3">
        <v>35.12</v>
      </c>
      <c r="C241" s="3">
        <v>25.83</v>
      </c>
      <c r="D241" s="3">
        <v>20.75</v>
      </c>
      <c r="E241" s="3">
        <v>14.99</v>
      </c>
      <c r="F241" s="3">
        <v>33.0</v>
      </c>
      <c r="G241" s="3">
        <v>49.68</v>
      </c>
      <c r="H241" s="3">
        <v>9.22</v>
      </c>
      <c r="I241" s="3">
        <v>18.0</v>
      </c>
      <c r="J241" s="3">
        <v>32.63</v>
      </c>
      <c r="K241" s="3">
        <v>27.99</v>
      </c>
      <c r="L241" s="3">
        <v>10.73</v>
      </c>
      <c r="M241" s="3">
        <v>41.18</v>
      </c>
      <c r="N241" s="3">
        <v>16.21</v>
      </c>
      <c r="O241" s="3">
        <v>60.19</v>
      </c>
      <c r="Q241" s="3"/>
    </row>
    <row r="242" ht="15.75" customHeight="1">
      <c r="A242" s="2" t="s">
        <v>147</v>
      </c>
      <c r="B242" s="3">
        <v>369.17</v>
      </c>
      <c r="C242" s="3">
        <v>100.0</v>
      </c>
      <c r="D242" s="3">
        <v>30.49</v>
      </c>
    </row>
    <row r="243" ht="15.75" customHeight="1">
      <c r="A243" s="12" t="s">
        <v>150</v>
      </c>
      <c r="B243" s="12">
        <v>400.0</v>
      </c>
      <c r="C243" s="12">
        <v>15.0</v>
      </c>
    </row>
    <row r="244" ht="15.75" customHeight="1">
      <c r="A244" s="2" t="s">
        <v>167</v>
      </c>
      <c r="B244" s="3">
        <v>20.0</v>
      </c>
      <c r="C244" s="12"/>
    </row>
    <row r="245" ht="15.75" customHeight="1">
      <c r="A245" s="2" t="s">
        <v>168</v>
      </c>
      <c r="B245" s="3">
        <v>30.0</v>
      </c>
      <c r="C245" s="12"/>
      <c r="D245" s="2" t="s">
        <v>59</v>
      </c>
      <c r="E245" s="3">
        <v>70.0</v>
      </c>
    </row>
    <row r="246" ht="15.75" customHeight="1">
      <c r="A246" s="2" t="s">
        <v>169</v>
      </c>
      <c r="B246" s="3">
        <v>20.0</v>
      </c>
      <c r="C246" s="12"/>
      <c r="D246" s="2" t="s">
        <v>145</v>
      </c>
      <c r="E246" s="3">
        <v>20.0</v>
      </c>
    </row>
    <row r="247" ht="15.75" customHeight="1">
      <c r="A247" s="2" t="s">
        <v>170</v>
      </c>
      <c r="B247" s="3">
        <v>50.0</v>
      </c>
      <c r="C247" s="12"/>
    </row>
    <row r="248" ht="15.75" customHeight="1">
      <c r="A248" s="4" t="s">
        <v>2</v>
      </c>
      <c r="B248" s="4">
        <v>1520.18</v>
      </c>
      <c r="C248" s="12"/>
    </row>
    <row r="249" ht="15.75" customHeight="1">
      <c r="C249" s="12"/>
    </row>
    <row r="250" ht="15.75" customHeight="1">
      <c r="A250" s="1">
        <v>42095.0</v>
      </c>
      <c r="C250" s="12"/>
    </row>
    <row r="251" ht="15.75" customHeight="1">
      <c r="A251" s="2" t="s">
        <v>0</v>
      </c>
      <c r="B251" s="3">
        <v>35.12</v>
      </c>
      <c r="C251" s="3">
        <v>25.85</v>
      </c>
      <c r="D251" s="3">
        <v>14.99</v>
      </c>
      <c r="E251" s="3">
        <v>49.69</v>
      </c>
      <c r="F251" s="3">
        <v>44.3</v>
      </c>
      <c r="G251" s="3">
        <v>23.25</v>
      </c>
      <c r="H251" s="3">
        <v>20.75</v>
      </c>
      <c r="I251" s="3">
        <v>6.75</v>
      </c>
      <c r="J251" s="3">
        <v>30.49</v>
      </c>
      <c r="K251" s="3">
        <v>8.16</v>
      </c>
      <c r="L251" s="3">
        <v>57.25</v>
      </c>
      <c r="M251" s="3">
        <v>6.34</v>
      </c>
      <c r="N251" s="3">
        <v>24.28</v>
      </c>
      <c r="O251" s="3">
        <v>112.5</v>
      </c>
      <c r="Q251" s="3"/>
    </row>
    <row r="252" ht="15.75" customHeight="1">
      <c r="A252" s="2" t="s">
        <v>147</v>
      </c>
      <c r="B252" s="3">
        <v>369.17</v>
      </c>
      <c r="C252" s="3">
        <v>100.0</v>
      </c>
      <c r="D252" s="3">
        <v>15.0</v>
      </c>
    </row>
    <row r="253" ht="15.75" customHeight="1">
      <c r="A253" s="12" t="s">
        <v>150</v>
      </c>
      <c r="B253" s="12">
        <v>400.0</v>
      </c>
      <c r="C253" s="12">
        <v>15.0</v>
      </c>
    </row>
    <row r="254" ht="15.75" customHeight="1">
      <c r="A254" s="2" t="s">
        <v>70</v>
      </c>
      <c r="B254" s="3">
        <v>100.0</v>
      </c>
      <c r="C254" s="12"/>
    </row>
    <row r="255" ht="15.75" customHeight="1">
      <c r="A255" s="2" t="s">
        <v>171</v>
      </c>
      <c r="B255" s="3">
        <v>86.0</v>
      </c>
      <c r="C255" s="12"/>
    </row>
    <row r="256" ht="15.75" customHeight="1">
      <c r="A256" s="2" t="s">
        <v>172</v>
      </c>
      <c r="B256" s="3">
        <v>15.0</v>
      </c>
      <c r="C256" s="12"/>
    </row>
    <row r="257" ht="15.75" customHeight="1">
      <c r="A257" s="2" t="s">
        <v>167</v>
      </c>
      <c r="B257" s="3">
        <v>7.0</v>
      </c>
      <c r="C257" s="12"/>
    </row>
    <row r="258" ht="15.75" customHeight="1">
      <c r="A258" s="4" t="s">
        <v>2</v>
      </c>
      <c r="B258" s="4">
        <v>1566.89</v>
      </c>
      <c r="C258" s="12"/>
    </row>
    <row r="259" ht="15.75" customHeight="1">
      <c r="C259" s="12"/>
    </row>
    <row r="260" ht="15.75" customHeight="1">
      <c r="A260" s="1">
        <v>42125.0</v>
      </c>
      <c r="C260" s="12"/>
    </row>
    <row r="261" ht="15.75" customHeight="1">
      <c r="A261" s="2" t="s">
        <v>0</v>
      </c>
      <c r="B261" s="3">
        <v>35.12</v>
      </c>
      <c r="C261" s="3">
        <v>14.99</v>
      </c>
      <c r="D261" s="3">
        <v>112.5</v>
      </c>
      <c r="E261" s="3">
        <v>24.61</v>
      </c>
      <c r="F261" s="3">
        <v>286.68</v>
      </c>
      <c r="G261" s="3">
        <v>11.64</v>
      </c>
    </row>
    <row r="262" ht="15.75" customHeight="1">
      <c r="A262" s="2" t="s">
        <v>147</v>
      </c>
      <c r="B262" s="3">
        <v>369.17</v>
      </c>
      <c r="C262" s="3">
        <v>100.0</v>
      </c>
    </row>
    <row r="263" ht="15.75" customHeight="1">
      <c r="A263" s="12" t="s">
        <v>150</v>
      </c>
      <c r="B263" s="12">
        <v>400.0</v>
      </c>
      <c r="C263" s="12">
        <v>15.0</v>
      </c>
    </row>
    <row r="264" ht="15.75" customHeight="1">
      <c r="A264" s="2" t="s">
        <v>59</v>
      </c>
      <c r="B264" s="3">
        <v>100.0</v>
      </c>
      <c r="C264" s="12"/>
    </row>
    <row r="265" ht="15.75" customHeight="1">
      <c r="A265" s="2" t="s">
        <v>133</v>
      </c>
      <c r="B265" s="3">
        <v>34.0</v>
      </c>
      <c r="C265" s="12"/>
    </row>
    <row r="266" ht="15.75" customHeight="1">
      <c r="A266" s="2" t="s">
        <v>125</v>
      </c>
      <c r="B266" s="3">
        <v>25.0</v>
      </c>
      <c r="C266" s="12"/>
    </row>
    <row r="267" ht="15.75" customHeight="1">
      <c r="A267" s="2" t="s">
        <v>172</v>
      </c>
      <c r="B267" s="3">
        <v>15.0</v>
      </c>
      <c r="C267" s="12"/>
    </row>
    <row r="268" ht="15.75" customHeight="1">
      <c r="A268" s="4" t="s">
        <v>2</v>
      </c>
      <c r="B268" s="4">
        <v>1543.71</v>
      </c>
      <c r="C268" s="12"/>
    </row>
    <row r="269" ht="15.75" customHeight="1">
      <c r="C269" s="12"/>
    </row>
    <row r="270" ht="15.75" customHeight="1">
      <c r="A270" s="1">
        <v>42156.0</v>
      </c>
      <c r="C270" s="12"/>
      <c r="D270" s="2" t="s">
        <v>138</v>
      </c>
      <c r="E270" s="3">
        <v>20.0</v>
      </c>
    </row>
    <row r="271" ht="15.75" customHeight="1">
      <c r="A271" s="2" t="s">
        <v>0</v>
      </c>
      <c r="B271" s="3">
        <v>35.12</v>
      </c>
      <c r="C271" s="3">
        <v>14.99</v>
      </c>
      <c r="D271" s="3">
        <v>286.68</v>
      </c>
      <c r="E271" s="3">
        <v>20.0</v>
      </c>
      <c r="F271" s="3">
        <v>18.0</v>
      </c>
      <c r="G271" s="3">
        <v>4.91</v>
      </c>
      <c r="H271" s="3">
        <v>58.95</v>
      </c>
      <c r="I271" s="3">
        <v>25.0</v>
      </c>
      <c r="J271" s="3">
        <v>37.8</v>
      </c>
      <c r="K271" s="3">
        <v>76.24</v>
      </c>
      <c r="L271" s="3">
        <v>8.2</v>
      </c>
      <c r="M271" s="3">
        <v>7.49</v>
      </c>
      <c r="N271" s="3"/>
      <c r="P271" s="3"/>
    </row>
    <row r="272" ht="15.75" customHeight="1">
      <c r="A272" s="2" t="s">
        <v>147</v>
      </c>
      <c r="B272" s="3">
        <v>369.17</v>
      </c>
      <c r="C272" s="3">
        <v>100.0</v>
      </c>
      <c r="D272" s="3">
        <v>204.05</v>
      </c>
    </row>
    <row r="273" ht="15.75" customHeight="1">
      <c r="A273" s="12" t="s">
        <v>150</v>
      </c>
      <c r="B273" s="12">
        <v>15.0</v>
      </c>
      <c r="C273" s="12">
        <v>150.0</v>
      </c>
    </row>
    <row r="274" ht="15.75" customHeight="1">
      <c r="A274" s="2" t="s">
        <v>59</v>
      </c>
      <c r="B274" s="3">
        <v>100.0</v>
      </c>
      <c r="C274" s="12"/>
    </row>
    <row r="275" ht="15.75" customHeight="1">
      <c r="A275" s="2" t="s">
        <v>173</v>
      </c>
      <c r="B275" s="3">
        <v>20.0</v>
      </c>
      <c r="C275" s="12"/>
    </row>
    <row r="276" ht="15.75" customHeight="1">
      <c r="A276" s="2" t="s">
        <v>174</v>
      </c>
      <c r="B276" s="3">
        <v>61.0</v>
      </c>
      <c r="C276" s="12"/>
    </row>
    <row r="277" ht="15.75" customHeight="1">
      <c r="A277" s="2" t="s">
        <v>172</v>
      </c>
      <c r="B277" s="3">
        <v>15.0</v>
      </c>
      <c r="C277" s="12"/>
      <c r="D277" s="2" t="s">
        <v>175</v>
      </c>
      <c r="E277" s="3">
        <v>34.0</v>
      </c>
    </row>
    <row r="278" ht="15.75" customHeight="1">
      <c r="A278" s="4" t="s">
        <v>2</v>
      </c>
      <c r="B278" s="4">
        <v>1661.6</v>
      </c>
      <c r="C278" s="12"/>
    </row>
    <row r="279" ht="15.75" customHeight="1">
      <c r="C279" s="12"/>
    </row>
    <row r="280" ht="15.75" customHeight="1">
      <c r="A280" s="1">
        <v>41821.0</v>
      </c>
      <c r="C280" s="12"/>
      <c r="D280" s="2" t="s">
        <v>138</v>
      </c>
      <c r="E280" s="3">
        <v>20.0</v>
      </c>
    </row>
    <row r="281" ht="15.75" customHeight="1">
      <c r="A281" s="2" t="s">
        <v>0</v>
      </c>
      <c r="B281" s="3">
        <v>35.12</v>
      </c>
      <c r="C281" s="3">
        <v>14.99</v>
      </c>
      <c r="D281" s="3">
        <v>286.66</v>
      </c>
      <c r="E281" s="3">
        <v>20.0</v>
      </c>
      <c r="F281" s="3">
        <v>76.23</v>
      </c>
      <c r="G281" s="3">
        <v>12.51</v>
      </c>
      <c r="H281" s="3">
        <v>69.5</v>
      </c>
      <c r="I281" s="3">
        <v>26.6</v>
      </c>
      <c r="J281" s="3">
        <v>20.0</v>
      </c>
      <c r="K281" s="3">
        <v>229.9</v>
      </c>
      <c r="L281" s="3">
        <v>11.5</v>
      </c>
      <c r="M281" s="3">
        <v>12.75</v>
      </c>
      <c r="P281" s="3">
        <v>815.76</v>
      </c>
    </row>
    <row r="282" ht="15.75" customHeight="1">
      <c r="A282" s="2" t="s">
        <v>147</v>
      </c>
      <c r="B282" s="3">
        <v>369.17</v>
      </c>
      <c r="C282" s="3">
        <v>100.0</v>
      </c>
      <c r="D282" s="3">
        <v>98.4</v>
      </c>
    </row>
    <row r="283" ht="15.75" customHeight="1">
      <c r="A283" s="12" t="s">
        <v>150</v>
      </c>
      <c r="B283" s="12">
        <v>15.0</v>
      </c>
      <c r="C283" s="12"/>
    </row>
    <row r="284" ht="15.75" customHeight="1">
      <c r="A284" s="2" t="s">
        <v>59</v>
      </c>
      <c r="B284" s="3">
        <v>100.0</v>
      </c>
      <c r="C284" s="12"/>
    </row>
    <row r="285" ht="15.75" customHeight="1">
      <c r="A285" s="2" t="s">
        <v>125</v>
      </c>
      <c r="B285" s="3">
        <v>25.0</v>
      </c>
      <c r="C285" s="12"/>
    </row>
    <row r="286" ht="15.75" customHeight="1">
      <c r="C286" s="12"/>
    </row>
    <row r="287" ht="15.75" customHeight="1">
      <c r="C287" s="12"/>
    </row>
    <row r="288" ht="15.75" customHeight="1">
      <c r="A288" s="4" t="s">
        <v>2</v>
      </c>
      <c r="B288" s="4">
        <v>1523.33</v>
      </c>
      <c r="C288" s="12"/>
    </row>
    <row r="289" ht="15.75" customHeight="1">
      <c r="C289" s="12"/>
    </row>
    <row r="290" ht="15.75" customHeight="1">
      <c r="A290" s="1">
        <v>42217.0</v>
      </c>
      <c r="B290" s="2" t="s">
        <v>138</v>
      </c>
      <c r="C290" s="3">
        <v>20.0</v>
      </c>
    </row>
    <row r="291" ht="15.75" customHeight="1">
      <c r="A291" s="2" t="s">
        <v>0</v>
      </c>
      <c r="B291" s="3">
        <v>14.99</v>
      </c>
      <c r="C291" s="3">
        <v>20.0</v>
      </c>
      <c r="D291" s="3">
        <v>76.24</v>
      </c>
      <c r="E291" s="3">
        <v>12.51</v>
      </c>
      <c r="F291" s="3">
        <v>69.5</v>
      </c>
      <c r="G291" s="3">
        <v>50.0</v>
      </c>
      <c r="H291" s="3">
        <v>229.9</v>
      </c>
      <c r="I291" s="3">
        <v>26.6</v>
      </c>
      <c r="J291" s="3">
        <v>50.0</v>
      </c>
      <c r="K291" s="3">
        <v>15.4</v>
      </c>
      <c r="L291" s="3">
        <v>24.3</v>
      </c>
      <c r="M291" s="3">
        <v>13.37</v>
      </c>
      <c r="N291" s="3">
        <v>20.0</v>
      </c>
      <c r="O291" s="3"/>
    </row>
    <row r="292" ht="15.75" customHeight="1">
      <c r="A292" s="2" t="s">
        <v>147</v>
      </c>
      <c r="B292" s="3">
        <v>369.17</v>
      </c>
      <c r="C292" s="3">
        <v>100.0</v>
      </c>
      <c r="D292" s="3">
        <v>165.56</v>
      </c>
      <c r="E292" s="3">
        <v>130.65</v>
      </c>
    </row>
    <row r="293" ht="15.75" customHeight="1">
      <c r="A293" s="12" t="s">
        <v>150</v>
      </c>
      <c r="B293" s="12">
        <v>15.0</v>
      </c>
      <c r="C293" s="12"/>
    </row>
    <row r="294" ht="15.75" customHeight="1">
      <c r="A294" s="2" t="s">
        <v>59</v>
      </c>
      <c r="B294" s="3">
        <v>100.0</v>
      </c>
    </row>
    <row r="295" ht="15.75" customHeight="1">
      <c r="A295" s="2" t="s">
        <v>125</v>
      </c>
      <c r="B295" s="3">
        <v>25.0</v>
      </c>
    </row>
    <row r="296" ht="15.75" customHeight="1">
      <c r="A296" s="2" t="s">
        <v>172</v>
      </c>
      <c r="B296" s="3">
        <v>15.0</v>
      </c>
    </row>
    <row r="297" ht="15.75" customHeight="1">
      <c r="A297" s="2" t="s">
        <v>176</v>
      </c>
      <c r="B297" s="3">
        <v>18.0</v>
      </c>
    </row>
    <row r="298" ht="15.75" customHeight="1">
      <c r="A298" s="4" t="s">
        <v>2</v>
      </c>
      <c r="B298" s="4">
        <v>1561.19</v>
      </c>
    </row>
    <row r="299" ht="15.75" customHeight="1"/>
    <row r="300" ht="15.75" customHeight="1">
      <c r="A300" s="1">
        <v>42248.0</v>
      </c>
      <c r="B300" s="2" t="s">
        <v>138</v>
      </c>
      <c r="C300" s="3">
        <v>20.0</v>
      </c>
      <c r="S300" s="2">
        <v>786.86</v>
      </c>
      <c r="T300" s="2">
        <v>806.87</v>
      </c>
    </row>
    <row r="301" ht="15.75" customHeight="1">
      <c r="A301" s="2" t="s">
        <v>0</v>
      </c>
      <c r="B301" s="3">
        <v>14.99</v>
      </c>
      <c r="C301" s="3">
        <v>20.0</v>
      </c>
      <c r="D301" s="3">
        <v>12.51</v>
      </c>
      <c r="E301" s="3">
        <v>50.0</v>
      </c>
      <c r="F301" s="3">
        <v>229.9</v>
      </c>
      <c r="G301" s="3">
        <v>26.6</v>
      </c>
      <c r="H301" s="3">
        <v>34.0</v>
      </c>
      <c r="I301" s="3">
        <v>113.57</v>
      </c>
      <c r="J301" s="3">
        <v>10.24</v>
      </c>
      <c r="K301" s="3">
        <v>80.0</v>
      </c>
      <c r="L301" s="3">
        <v>20.0</v>
      </c>
      <c r="M301" s="3">
        <v>43.35</v>
      </c>
      <c r="N301" s="3">
        <v>31.9</v>
      </c>
      <c r="O301" s="3">
        <v>25.16</v>
      </c>
      <c r="P301" s="3">
        <v>33.3</v>
      </c>
      <c r="Q301" s="3">
        <v>1.45</v>
      </c>
      <c r="R301" s="3">
        <v>39.9</v>
      </c>
    </row>
    <row r="302" ht="15.75" customHeight="1">
      <c r="A302" s="2" t="s">
        <v>54</v>
      </c>
      <c r="B302" s="3">
        <v>100.0</v>
      </c>
    </row>
    <row r="303" ht="15.75" customHeight="1">
      <c r="A303" s="2" t="s">
        <v>59</v>
      </c>
      <c r="B303" s="3">
        <v>100.0</v>
      </c>
    </row>
    <row r="304" ht="15.75" customHeight="1">
      <c r="A304" s="12" t="s">
        <v>150</v>
      </c>
      <c r="B304" s="12">
        <v>800.0</v>
      </c>
      <c r="C304" s="12">
        <v>300.0</v>
      </c>
      <c r="D304" s="12">
        <v>15.0</v>
      </c>
    </row>
    <row r="305" ht="15.75" customHeight="1">
      <c r="A305" s="2" t="s">
        <v>177</v>
      </c>
      <c r="B305" s="3">
        <v>6.67</v>
      </c>
      <c r="E305" s="3"/>
    </row>
    <row r="306" ht="15.75" customHeight="1">
      <c r="A306" s="2" t="s">
        <v>178</v>
      </c>
      <c r="B306" s="3">
        <v>65.0</v>
      </c>
      <c r="D306" s="2" t="s">
        <v>125</v>
      </c>
      <c r="E306" s="3">
        <v>25.0</v>
      </c>
      <c r="F306" s="40"/>
    </row>
    <row r="307" ht="15.75" customHeight="1">
      <c r="A307" s="2" t="s">
        <v>155</v>
      </c>
      <c r="B307" s="3">
        <v>60.0</v>
      </c>
      <c r="D307" s="2" t="s">
        <v>172</v>
      </c>
      <c r="E307" s="3">
        <v>10.0</v>
      </c>
    </row>
    <row r="308" ht="15.75" customHeight="1">
      <c r="A308" s="4" t="s">
        <v>2</v>
      </c>
      <c r="B308" s="4">
        <v>2268.54</v>
      </c>
    </row>
    <row r="309" ht="15.75" customHeight="1"/>
    <row r="310" ht="15.75" customHeight="1">
      <c r="A310" s="1">
        <v>42278.0</v>
      </c>
      <c r="B310" s="2" t="s">
        <v>138</v>
      </c>
      <c r="C310" s="3">
        <v>20.0</v>
      </c>
      <c r="R310" s="2">
        <v>848.96</v>
      </c>
    </row>
    <row r="311" ht="15.75" customHeight="1">
      <c r="A311" s="2" t="s">
        <v>0</v>
      </c>
      <c r="B311" s="3">
        <v>12.51</v>
      </c>
      <c r="C311" s="3">
        <v>20.0</v>
      </c>
      <c r="D311" s="3">
        <v>50.0</v>
      </c>
      <c r="E311" s="3">
        <v>229.9</v>
      </c>
      <c r="F311" s="3">
        <v>25.16</v>
      </c>
      <c r="G311" s="3">
        <v>33.3</v>
      </c>
      <c r="H311" s="3">
        <v>10.3</v>
      </c>
      <c r="I311" s="3">
        <v>93.7</v>
      </c>
      <c r="J311" s="3">
        <v>31.9</v>
      </c>
      <c r="K311" s="3">
        <v>84.99</v>
      </c>
      <c r="L311" s="3">
        <v>91.5</v>
      </c>
      <c r="M311" s="3">
        <v>28.87</v>
      </c>
      <c r="N311" s="3">
        <v>73.0</v>
      </c>
      <c r="O311" s="3">
        <v>25.5</v>
      </c>
      <c r="P311" s="3">
        <v>9.33</v>
      </c>
      <c r="Q311" s="3">
        <v>9.0</v>
      </c>
    </row>
    <row r="312" ht="15.75" customHeight="1">
      <c r="A312" s="2" t="s">
        <v>54</v>
      </c>
      <c r="B312" s="3">
        <v>100.0</v>
      </c>
    </row>
    <row r="313" ht="15.75" customHeight="1">
      <c r="A313" s="2" t="s">
        <v>59</v>
      </c>
      <c r="B313" s="3">
        <v>100.0</v>
      </c>
    </row>
    <row r="314" ht="15.75" customHeight="1">
      <c r="A314" s="12" t="s">
        <v>150</v>
      </c>
      <c r="B314" s="12">
        <v>800.0</v>
      </c>
      <c r="C314" s="12">
        <v>15.0</v>
      </c>
    </row>
    <row r="315" ht="15.75" customHeight="1">
      <c r="A315" s="2" t="s">
        <v>133</v>
      </c>
      <c r="B315" s="3">
        <v>68.0</v>
      </c>
    </row>
    <row r="316" ht="15.75" customHeight="1"/>
    <row r="317" ht="15.75" customHeight="1"/>
    <row r="318" ht="15.75" customHeight="1">
      <c r="A318" s="4" t="s">
        <v>2</v>
      </c>
      <c r="B318" s="4">
        <v>1911.96</v>
      </c>
    </row>
    <row r="319" ht="15.75" customHeight="1"/>
    <row r="320" ht="15.75" customHeight="1">
      <c r="A320" s="1">
        <v>42309.0</v>
      </c>
    </row>
    <row r="321" ht="15.75" customHeight="1">
      <c r="A321" s="2" t="s">
        <v>0</v>
      </c>
      <c r="B321" s="3">
        <v>50.0</v>
      </c>
      <c r="C321" s="3">
        <v>229.9</v>
      </c>
      <c r="D321" s="3">
        <v>25.16</v>
      </c>
      <c r="E321" s="3">
        <v>33.3</v>
      </c>
      <c r="F321" s="3">
        <v>84.98</v>
      </c>
      <c r="G321" s="3">
        <v>91.5</v>
      </c>
      <c r="H321" s="3">
        <v>31.75</v>
      </c>
      <c r="I321" s="3">
        <v>9.96</v>
      </c>
      <c r="J321" s="3">
        <v>22.64</v>
      </c>
      <c r="K321" s="3">
        <v>15.0</v>
      </c>
      <c r="L321" s="3">
        <v>44.15</v>
      </c>
      <c r="M321" s="3">
        <v>18.24</v>
      </c>
      <c r="N321" s="3">
        <v>41.02</v>
      </c>
      <c r="O321" s="3">
        <v>50.0</v>
      </c>
    </row>
    <row r="322" ht="15.75" customHeight="1">
      <c r="A322" s="2" t="s">
        <v>54</v>
      </c>
      <c r="B322" s="3">
        <v>100.0</v>
      </c>
    </row>
    <row r="323" ht="15.75" customHeight="1">
      <c r="A323" s="12" t="s">
        <v>150</v>
      </c>
      <c r="B323" s="12">
        <v>700.0</v>
      </c>
      <c r="C323" s="12">
        <v>15.0</v>
      </c>
    </row>
    <row r="324" ht="15.75" customHeight="1">
      <c r="A324" s="2" t="s">
        <v>59</v>
      </c>
      <c r="B324" s="3">
        <v>100.0</v>
      </c>
    </row>
    <row r="325" ht="15.75" customHeight="1">
      <c r="A325" s="2" t="s">
        <v>125</v>
      </c>
      <c r="B325" s="3">
        <v>30.0</v>
      </c>
    </row>
    <row r="326" ht="15.75" customHeight="1">
      <c r="A326" s="2" t="s">
        <v>167</v>
      </c>
      <c r="B326" s="3">
        <v>16.0</v>
      </c>
    </row>
    <row r="327" ht="15.75" customHeight="1"/>
    <row r="328" ht="15.75" customHeight="1">
      <c r="A328" s="4" t="s">
        <v>2</v>
      </c>
      <c r="B328" s="4">
        <v>1708.6</v>
      </c>
    </row>
    <row r="329" ht="15.75" customHeight="1"/>
    <row r="330" ht="15.75" customHeight="1">
      <c r="A330" s="1">
        <v>42339.0</v>
      </c>
    </row>
    <row r="331" ht="15.75" customHeight="1">
      <c r="A331" s="2" t="s">
        <v>0</v>
      </c>
      <c r="B331" s="3">
        <v>50.0</v>
      </c>
      <c r="C331" s="3">
        <v>229.9</v>
      </c>
      <c r="D331" s="3">
        <v>91.5</v>
      </c>
      <c r="E331" s="3">
        <v>22.64</v>
      </c>
      <c r="F331" s="3">
        <v>41.02</v>
      </c>
      <c r="G331" s="3">
        <v>124.77</v>
      </c>
      <c r="H331" s="3">
        <v>46.0</v>
      </c>
      <c r="I331" s="3">
        <v>13.95</v>
      </c>
      <c r="J331" s="3">
        <v>30.3</v>
      </c>
      <c r="K331" s="3">
        <v>15.9</v>
      </c>
      <c r="L331" s="3"/>
    </row>
    <row r="332" ht="15.75" customHeight="1">
      <c r="A332" s="2" t="s">
        <v>54</v>
      </c>
      <c r="B332" s="3">
        <v>100.0</v>
      </c>
    </row>
    <row r="333" ht="15.75" customHeight="1">
      <c r="A333" s="12" t="s">
        <v>150</v>
      </c>
      <c r="B333" s="12">
        <v>1513.0</v>
      </c>
      <c r="C333" s="12">
        <v>15.0</v>
      </c>
    </row>
    <row r="334" ht="15.75" customHeight="1">
      <c r="A334" s="2" t="s">
        <v>59</v>
      </c>
      <c r="B334" s="3">
        <v>100.0</v>
      </c>
    </row>
    <row r="335" ht="15.75" customHeight="1">
      <c r="A335" s="2" t="s">
        <v>149</v>
      </c>
      <c r="B335" s="3">
        <v>58.0</v>
      </c>
    </row>
    <row r="336" ht="15.75" customHeight="1">
      <c r="A336" s="2" t="s">
        <v>179</v>
      </c>
      <c r="B336" s="3">
        <v>109.9</v>
      </c>
      <c r="C336" s="3">
        <v>36.78</v>
      </c>
      <c r="D336" s="3">
        <v>55.0</v>
      </c>
      <c r="E336" s="3">
        <v>47.98</v>
      </c>
      <c r="F336" s="3">
        <v>40.0</v>
      </c>
      <c r="G336" s="3">
        <v>125.6</v>
      </c>
      <c r="H336" s="3">
        <v>22.5</v>
      </c>
      <c r="I336" s="3">
        <v>47.24</v>
      </c>
      <c r="J336" s="3">
        <v>30.0</v>
      </c>
    </row>
    <row r="337" ht="15.75" customHeight="1">
      <c r="A337" s="4" t="s">
        <v>2</v>
      </c>
      <c r="B337" s="4">
        <v>2966.98</v>
      </c>
    </row>
    <row r="338" ht="15.75" customHeight="1"/>
    <row r="339" ht="15.75" customHeight="1">
      <c r="A339" s="1">
        <v>42370.0</v>
      </c>
      <c r="O339" s="2">
        <v>676.21</v>
      </c>
    </row>
    <row r="340" ht="15.75" customHeight="1">
      <c r="A340" s="2" t="s">
        <v>0</v>
      </c>
      <c r="B340" s="3">
        <v>229.9</v>
      </c>
      <c r="C340" s="3">
        <v>91.5</v>
      </c>
      <c r="D340" s="3">
        <v>22.64</v>
      </c>
      <c r="E340" s="3">
        <v>41.02</v>
      </c>
      <c r="F340" s="3">
        <v>39.9</v>
      </c>
      <c r="G340" s="3">
        <v>5.5</v>
      </c>
      <c r="H340" s="3">
        <v>15.0</v>
      </c>
      <c r="I340" s="3">
        <v>120.2</v>
      </c>
      <c r="J340" s="3">
        <v>30.3</v>
      </c>
      <c r="K340" s="3">
        <v>15.9</v>
      </c>
      <c r="L340" s="3">
        <v>12.21</v>
      </c>
      <c r="M340" s="3">
        <v>41.64</v>
      </c>
      <c r="N340" s="3">
        <v>10.5</v>
      </c>
    </row>
    <row r="341" ht="15.75" customHeight="1">
      <c r="A341" s="2" t="s">
        <v>54</v>
      </c>
      <c r="B341" s="3">
        <v>100.0</v>
      </c>
    </row>
    <row r="342" ht="15.75" customHeight="1">
      <c r="A342" s="12" t="s">
        <v>150</v>
      </c>
      <c r="B342" s="12">
        <v>910.0</v>
      </c>
      <c r="C342" s="12">
        <v>15.0</v>
      </c>
    </row>
    <row r="343" ht="15.75" customHeight="1">
      <c r="A343" s="2" t="s">
        <v>59</v>
      </c>
      <c r="B343" s="3">
        <v>100.0</v>
      </c>
    </row>
    <row r="344" ht="15.75" customHeight="1">
      <c r="A344" s="2" t="s">
        <v>178</v>
      </c>
      <c r="B344" s="3">
        <v>90.0</v>
      </c>
    </row>
    <row r="345" ht="15.75" customHeight="1">
      <c r="A345" s="2" t="s">
        <v>145</v>
      </c>
      <c r="B345" s="3">
        <v>25.0</v>
      </c>
      <c r="D345" s="2" t="s">
        <v>172</v>
      </c>
      <c r="E345" s="3">
        <v>10.0</v>
      </c>
    </row>
    <row r="346" ht="15.75" customHeight="1">
      <c r="A346" s="4" t="s">
        <v>2</v>
      </c>
      <c r="B346" s="4">
        <v>1926.21</v>
      </c>
    </row>
    <row r="347" ht="15.75" customHeight="1"/>
    <row r="348" ht="15.75" customHeight="1">
      <c r="A348" s="1">
        <v>42401.0</v>
      </c>
    </row>
    <row r="349" ht="15.75" customHeight="1">
      <c r="A349" s="2" t="s">
        <v>0</v>
      </c>
      <c r="B349" s="3">
        <v>229.9</v>
      </c>
      <c r="C349" s="3">
        <v>91.5</v>
      </c>
      <c r="D349" s="3">
        <v>41.02</v>
      </c>
      <c r="E349" s="3">
        <v>15.9</v>
      </c>
      <c r="F349" s="3">
        <v>41.64</v>
      </c>
      <c r="G349" s="3">
        <v>71.88</v>
      </c>
      <c r="H349" s="3">
        <v>40.86</v>
      </c>
    </row>
    <row r="350" ht="15.75" customHeight="1">
      <c r="A350" s="2" t="s">
        <v>59</v>
      </c>
      <c r="B350" s="3">
        <v>100.0</v>
      </c>
    </row>
    <row r="351" ht="15.75" customHeight="1">
      <c r="A351" s="2" t="s">
        <v>54</v>
      </c>
      <c r="B351" s="3">
        <v>350.0</v>
      </c>
    </row>
    <row r="352" ht="15.75" customHeight="1">
      <c r="A352" s="12" t="s">
        <v>150</v>
      </c>
      <c r="B352" s="12">
        <v>15.0</v>
      </c>
      <c r="C352" s="12">
        <v>2309.2</v>
      </c>
    </row>
    <row r="353" ht="15.75" customHeight="1">
      <c r="A353" s="2" t="s">
        <v>180</v>
      </c>
      <c r="B353" s="3">
        <v>20.0</v>
      </c>
    </row>
    <row r="354" ht="15.75" customHeight="1"/>
    <row r="355" ht="15.75" customHeight="1"/>
    <row r="356" ht="15.75" customHeight="1"/>
    <row r="357" ht="15.75" customHeight="1">
      <c r="A357" s="1">
        <v>42430.0</v>
      </c>
    </row>
    <row r="358" ht="15.75" customHeight="1">
      <c r="A358" s="2" t="s">
        <v>0</v>
      </c>
      <c r="B358" s="7">
        <v>229.9</v>
      </c>
      <c r="C358" s="7">
        <v>91.5</v>
      </c>
      <c r="D358" s="7">
        <v>41.02</v>
      </c>
      <c r="E358" s="7">
        <v>41.64</v>
      </c>
      <c r="F358" s="7">
        <v>71.88</v>
      </c>
      <c r="G358" s="7">
        <v>21.89</v>
      </c>
      <c r="H358" s="7">
        <v>66.5</v>
      </c>
    </row>
    <row r="359" ht="15.75" customHeight="1">
      <c r="A359" s="2" t="s">
        <v>59</v>
      </c>
      <c r="B359" s="7">
        <v>100.0</v>
      </c>
    </row>
    <row r="360" ht="15.75" customHeight="1">
      <c r="A360" s="2" t="s">
        <v>54</v>
      </c>
      <c r="B360" s="3">
        <v>100.0</v>
      </c>
    </row>
    <row r="361" ht="15.75" customHeight="1">
      <c r="A361" s="12" t="s">
        <v>150</v>
      </c>
      <c r="B361" s="12">
        <v>15.0</v>
      </c>
      <c r="C361" s="12"/>
    </row>
    <row r="362" ht="15.75" customHeight="1">
      <c r="A362" s="2" t="s">
        <v>181</v>
      </c>
      <c r="B362" s="3">
        <v>229.9</v>
      </c>
    </row>
    <row r="363" ht="15.75" customHeight="1"/>
    <row r="364" ht="15.75" customHeight="1"/>
    <row r="365" ht="15.75" customHeight="1"/>
    <row r="366" ht="15.75" customHeight="1">
      <c r="A366" s="1">
        <v>42461.0</v>
      </c>
    </row>
    <row r="367" ht="15.75" customHeight="1">
      <c r="A367" s="2" t="s">
        <v>0</v>
      </c>
      <c r="B367" s="7">
        <v>229.9</v>
      </c>
      <c r="C367" s="7">
        <v>6.0</v>
      </c>
      <c r="D367" s="7">
        <v>26.07</v>
      </c>
    </row>
    <row r="368" ht="15.75" customHeight="1">
      <c r="A368" s="2" t="s">
        <v>59</v>
      </c>
      <c r="B368" s="7">
        <v>100.0</v>
      </c>
    </row>
    <row r="369" ht="15.75" customHeight="1">
      <c r="A369" s="2" t="s">
        <v>181</v>
      </c>
      <c r="B369" s="7">
        <v>199.22</v>
      </c>
    </row>
    <row r="370" ht="15.75" customHeight="1">
      <c r="A370" s="2" t="s">
        <v>122</v>
      </c>
      <c r="B370" s="7">
        <v>350.0</v>
      </c>
    </row>
    <row r="371" ht="15.75" customHeight="1">
      <c r="A371" s="41" t="s">
        <v>153</v>
      </c>
      <c r="B371" s="41">
        <v>15.0</v>
      </c>
      <c r="C371" s="41"/>
    </row>
    <row r="372" ht="15.75" customHeight="1">
      <c r="A372" s="2" t="s">
        <v>149</v>
      </c>
      <c r="B372" s="3">
        <v>47.0</v>
      </c>
    </row>
    <row r="373" ht="15.75" customHeight="1"/>
    <row r="374" ht="15.75" customHeight="1"/>
    <row r="375" ht="15.75" customHeight="1">
      <c r="A375" s="2" t="s">
        <v>2</v>
      </c>
      <c r="B375" s="2">
        <v>973.19</v>
      </c>
    </row>
    <row r="376" ht="15.75" customHeight="1">
      <c r="A376" s="1">
        <v>42491.0</v>
      </c>
    </row>
    <row r="377" ht="15.75" customHeight="1">
      <c r="A377" s="2" t="s">
        <v>0</v>
      </c>
      <c r="B377" s="3">
        <v>26.07</v>
      </c>
      <c r="C377" s="3">
        <v>69.0</v>
      </c>
      <c r="D377" s="3">
        <v>25.0</v>
      </c>
      <c r="E377" s="3">
        <v>32.65</v>
      </c>
      <c r="F377" s="3">
        <v>25.9</v>
      </c>
    </row>
    <row r="378" ht="15.75" customHeight="1">
      <c r="A378" s="2" t="s">
        <v>59</v>
      </c>
      <c r="B378" s="3">
        <v>100.0</v>
      </c>
    </row>
    <row r="379" ht="15.75" customHeight="1">
      <c r="A379" s="2" t="s">
        <v>181</v>
      </c>
      <c r="B379" s="3">
        <v>199.22</v>
      </c>
      <c r="C379" s="3">
        <v>249.03</v>
      </c>
    </row>
    <row r="380" ht="15.75" customHeight="1">
      <c r="A380" s="26" t="s">
        <v>153</v>
      </c>
      <c r="B380" s="26">
        <v>15.0</v>
      </c>
    </row>
    <row r="381" ht="15.75" customHeight="1">
      <c r="A381" s="2" t="s">
        <v>54</v>
      </c>
      <c r="B381" s="3">
        <v>350.0</v>
      </c>
    </row>
    <row r="382" ht="15.75" customHeight="1">
      <c r="A382" s="2" t="s">
        <v>182</v>
      </c>
      <c r="B382" s="3">
        <v>63.37</v>
      </c>
      <c r="C382" s="3">
        <v>62.6</v>
      </c>
    </row>
    <row r="383" ht="15.75" customHeight="1">
      <c r="A383" s="2" t="s">
        <v>133</v>
      </c>
      <c r="B383" s="3">
        <v>30.0</v>
      </c>
    </row>
    <row r="384" ht="15.75" customHeight="1">
      <c r="A384" s="2" t="s">
        <v>2</v>
      </c>
      <c r="B384" s="2">
        <v>1247.84</v>
      </c>
    </row>
    <row r="385" ht="15.75" customHeight="1">
      <c r="A385" s="42" t="s">
        <v>62</v>
      </c>
    </row>
    <row r="386" ht="15.75" customHeight="1">
      <c r="A386" s="2" t="s">
        <v>0</v>
      </c>
      <c r="B386" s="3">
        <v>26.07</v>
      </c>
      <c r="C386" s="3">
        <v>69.0</v>
      </c>
      <c r="D386" s="3">
        <v>25.9</v>
      </c>
      <c r="E386" s="3">
        <v>41.5</v>
      </c>
      <c r="F386" s="3">
        <v>85.55</v>
      </c>
      <c r="G386" s="3">
        <v>12.9</v>
      </c>
      <c r="H386" s="3">
        <v>38.73</v>
      </c>
    </row>
    <row r="387" ht="15.75" customHeight="1">
      <c r="A387" s="2" t="s">
        <v>181</v>
      </c>
      <c r="B387" s="3">
        <v>199.22</v>
      </c>
    </row>
    <row r="388" ht="15.75" customHeight="1">
      <c r="A388" s="2" t="s">
        <v>59</v>
      </c>
      <c r="B388" s="3">
        <v>100.0</v>
      </c>
    </row>
    <row r="389" ht="15.75" customHeight="1">
      <c r="A389" s="2" t="s">
        <v>54</v>
      </c>
      <c r="B389" s="3">
        <v>350.0</v>
      </c>
    </row>
    <row r="390" ht="15.75" customHeight="1">
      <c r="A390" s="41" t="s">
        <v>153</v>
      </c>
      <c r="B390" s="41">
        <v>15.0</v>
      </c>
    </row>
    <row r="391" ht="15.75" customHeight="1">
      <c r="A391" s="2" t="s">
        <v>133</v>
      </c>
      <c r="B391" s="3">
        <v>25.0</v>
      </c>
    </row>
    <row r="392" ht="15.75" customHeight="1">
      <c r="A392" s="2" t="s">
        <v>147</v>
      </c>
      <c r="B392" s="3">
        <v>456.93</v>
      </c>
    </row>
    <row r="393" ht="15.75" customHeight="1"/>
    <row r="394" ht="15.75" customHeight="1">
      <c r="A394" s="43" t="s">
        <v>63</v>
      </c>
    </row>
    <row r="395" ht="15.75" customHeight="1">
      <c r="A395" s="2" t="s">
        <v>0</v>
      </c>
      <c r="B395" s="3">
        <v>26.07</v>
      </c>
      <c r="C395" s="3">
        <v>69.0</v>
      </c>
      <c r="D395" s="3">
        <v>25.9</v>
      </c>
      <c r="E395" s="3">
        <v>24.8</v>
      </c>
      <c r="F395" s="3">
        <v>39.0</v>
      </c>
      <c r="G395" s="3">
        <v>85.91</v>
      </c>
      <c r="H395" s="3">
        <v>50.9</v>
      </c>
      <c r="I395" s="3">
        <v>30.82</v>
      </c>
      <c r="J395" s="3">
        <v>41.17</v>
      </c>
      <c r="K395" s="3">
        <v>23.94</v>
      </c>
      <c r="L395" s="3">
        <v>44.9</v>
      </c>
      <c r="M395" s="3">
        <v>69.8</v>
      </c>
      <c r="N395" s="3">
        <v>41.17</v>
      </c>
      <c r="O395" s="3">
        <v>38.73</v>
      </c>
      <c r="P395" s="3">
        <v>27.9</v>
      </c>
      <c r="Q395" s="3">
        <v>24.65</v>
      </c>
      <c r="R395" s="3">
        <v>8.0</v>
      </c>
      <c r="S395" s="3">
        <v>33.9</v>
      </c>
      <c r="T395" s="3"/>
    </row>
    <row r="396" ht="15.75" customHeight="1">
      <c r="A396" s="2" t="s">
        <v>181</v>
      </c>
      <c r="B396" s="3">
        <v>199.22</v>
      </c>
    </row>
    <row r="397" ht="15.75" customHeight="1">
      <c r="A397" s="2" t="s">
        <v>59</v>
      </c>
      <c r="B397" s="3">
        <v>100.0</v>
      </c>
    </row>
    <row r="398" ht="15.75" customHeight="1">
      <c r="A398" s="2" t="s">
        <v>61</v>
      </c>
      <c r="B398" s="3">
        <v>136.6</v>
      </c>
    </row>
    <row r="399" ht="15.75" customHeight="1">
      <c r="A399" s="2" t="s">
        <v>183</v>
      </c>
      <c r="B399" s="3">
        <v>244.36</v>
      </c>
    </row>
    <row r="400" ht="15.75" customHeight="1">
      <c r="A400" s="41" t="s">
        <v>153</v>
      </c>
      <c r="B400" s="41">
        <v>15.0</v>
      </c>
    </row>
    <row r="401" ht="15.75" customHeight="1"/>
    <row r="402" ht="15.75" customHeight="1"/>
    <row r="403" ht="15.75" customHeight="1">
      <c r="A403" s="43" t="s">
        <v>64</v>
      </c>
    </row>
    <row r="404" ht="15.75" customHeight="1">
      <c r="A404" s="2" t="s">
        <v>0</v>
      </c>
      <c r="B404" s="3">
        <v>26.07</v>
      </c>
      <c r="C404" s="3">
        <v>69.0</v>
      </c>
      <c r="D404" s="3">
        <v>25.9</v>
      </c>
      <c r="E404" s="3">
        <v>30.82</v>
      </c>
      <c r="F404" s="3">
        <v>41.17</v>
      </c>
      <c r="G404" s="3">
        <v>41.17</v>
      </c>
      <c r="H404" s="3">
        <v>38.73</v>
      </c>
      <c r="I404" s="3">
        <v>67.89</v>
      </c>
      <c r="J404" s="3">
        <v>194.5</v>
      </c>
      <c r="K404" s="3">
        <v>48.98</v>
      </c>
      <c r="L404" s="3">
        <v>32.76</v>
      </c>
      <c r="M404" s="3">
        <v>41.69</v>
      </c>
      <c r="N404" s="3">
        <v>34.9</v>
      </c>
      <c r="O404" s="3">
        <v>41.46</v>
      </c>
      <c r="P404" s="3">
        <v>46.11</v>
      </c>
    </row>
    <row r="405" ht="15.75" customHeight="1">
      <c r="A405" s="2" t="s">
        <v>181</v>
      </c>
      <c r="B405" s="3">
        <v>199.22</v>
      </c>
    </row>
    <row r="406" ht="15.75" customHeight="1">
      <c r="A406" s="2" t="s">
        <v>59</v>
      </c>
      <c r="B406" s="3">
        <v>100.0</v>
      </c>
    </row>
    <row r="407" ht="15.75" customHeight="1">
      <c r="A407" s="41" t="s">
        <v>153</v>
      </c>
      <c r="B407" s="41">
        <v>15.0</v>
      </c>
      <c r="C407" s="41"/>
    </row>
    <row r="408" ht="15.75" customHeight="1">
      <c r="A408" s="2" t="s">
        <v>183</v>
      </c>
      <c r="B408" s="3">
        <v>248.11</v>
      </c>
    </row>
    <row r="409" ht="15.75" customHeight="1">
      <c r="A409" s="2" t="s">
        <v>145</v>
      </c>
      <c r="B409" s="3">
        <v>30.0</v>
      </c>
    </row>
    <row r="410" ht="15.75" customHeight="1">
      <c r="A410" s="2" t="s">
        <v>184</v>
      </c>
      <c r="B410" s="3">
        <v>320.0</v>
      </c>
    </row>
    <row r="411" ht="15.75" customHeight="1">
      <c r="A411" s="2" t="s">
        <v>185</v>
      </c>
      <c r="B411" s="7">
        <v>65.15</v>
      </c>
      <c r="C411" s="7">
        <v>26.26</v>
      </c>
      <c r="D411" s="7">
        <v>12.26</v>
      </c>
      <c r="E411" s="7">
        <v>67.39</v>
      </c>
      <c r="F411" s="7">
        <v>130.5</v>
      </c>
    </row>
    <row r="412" ht="15.75" customHeight="1">
      <c r="A412" s="43" t="s">
        <v>65</v>
      </c>
    </row>
    <row r="413" ht="15.75" customHeight="1">
      <c r="A413" s="2" t="s">
        <v>0</v>
      </c>
      <c r="B413" s="7">
        <v>26.07</v>
      </c>
      <c r="C413" s="7">
        <v>69.0</v>
      </c>
      <c r="D413" s="7">
        <v>25.9</v>
      </c>
      <c r="E413" s="7">
        <v>30.82</v>
      </c>
      <c r="F413" s="7">
        <v>41.18</v>
      </c>
      <c r="G413" s="7">
        <v>41.17</v>
      </c>
      <c r="H413" s="7">
        <v>38.73</v>
      </c>
      <c r="I413" s="7">
        <v>194.5</v>
      </c>
      <c r="J413" s="7">
        <v>32.23</v>
      </c>
      <c r="K413" s="7">
        <v>41.46</v>
      </c>
      <c r="L413" s="7">
        <v>46.11</v>
      </c>
      <c r="M413" s="7">
        <v>20.0</v>
      </c>
      <c r="N413" s="7">
        <v>66.13</v>
      </c>
      <c r="O413" s="7"/>
    </row>
    <row r="414" ht="15.75" customHeight="1">
      <c r="A414" s="2" t="s">
        <v>181</v>
      </c>
      <c r="B414" s="7">
        <v>199.22</v>
      </c>
    </row>
    <row r="415" ht="15.75" customHeight="1">
      <c r="A415" s="2" t="s">
        <v>59</v>
      </c>
      <c r="B415" s="7">
        <v>100.0</v>
      </c>
    </row>
    <row r="416" ht="15.75" customHeight="1">
      <c r="A416" s="41" t="s">
        <v>150</v>
      </c>
      <c r="B416" s="41">
        <v>15.0</v>
      </c>
      <c r="C416" s="41">
        <v>300.0</v>
      </c>
    </row>
    <row r="417" ht="15.75" customHeight="1">
      <c r="A417" s="2" t="s">
        <v>183</v>
      </c>
      <c r="B417" s="7">
        <v>253.16</v>
      </c>
    </row>
    <row r="418" ht="15.75" customHeight="1">
      <c r="A418" s="2" t="s">
        <v>133</v>
      </c>
      <c r="B418" s="7">
        <v>66.0</v>
      </c>
    </row>
    <row r="419" ht="15.75" customHeight="1">
      <c r="A419" s="2" t="s">
        <v>185</v>
      </c>
      <c r="B419" s="7">
        <v>28.86</v>
      </c>
      <c r="C419" s="7">
        <v>45.5</v>
      </c>
      <c r="D419" s="7">
        <v>30.0</v>
      </c>
      <c r="E419" s="7">
        <v>33.6</v>
      </c>
      <c r="F419" s="7">
        <v>46.03</v>
      </c>
      <c r="G419" s="7">
        <v>11.24</v>
      </c>
      <c r="H419" s="7">
        <v>4.75</v>
      </c>
      <c r="I419" s="7">
        <v>31.9</v>
      </c>
      <c r="J419" s="7">
        <v>27.5</v>
      </c>
      <c r="K419" s="7">
        <v>15.0</v>
      </c>
    </row>
    <row r="420" ht="15.75" customHeight="1"/>
    <row r="421" ht="15.75" customHeight="1">
      <c r="A421" s="43" t="s">
        <v>8</v>
      </c>
    </row>
    <row r="422" ht="15.75" customHeight="1">
      <c r="A422" s="2" t="s">
        <v>0</v>
      </c>
      <c r="B422" s="3">
        <v>26.07</v>
      </c>
      <c r="C422" s="3">
        <v>69.0</v>
      </c>
      <c r="D422" s="3">
        <v>25.9</v>
      </c>
      <c r="E422" s="3">
        <v>38.73</v>
      </c>
      <c r="F422" s="3">
        <v>194.5</v>
      </c>
      <c r="G422" s="3">
        <v>32.23</v>
      </c>
      <c r="H422" s="3">
        <v>41.46</v>
      </c>
      <c r="I422" s="3">
        <v>46.11</v>
      </c>
      <c r="J422" s="3">
        <v>42.5</v>
      </c>
      <c r="K422" s="3">
        <v>35.65</v>
      </c>
      <c r="L422" s="3">
        <v>45.0</v>
      </c>
      <c r="M422" s="3">
        <v>20.0</v>
      </c>
      <c r="N422" s="3">
        <v>35.9</v>
      </c>
      <c r="O422" s="3">
        <v>53.1</v>
      </c>
      <c r="P422" s="3">
        <v>5.98</v>
      </c>
      <c r="Q422" s="3">
        <v>37.5</v>
      </c>
      <c r="R422" s="3">
        <v>49.99</v>
      </c>
      <c r="S422" s="3">
        <v>36.0</v>
      </c>
      <c r="T422" s="3">
        <v>6.0</v>
      </c>
      <c r="U422" s="3">
        <v>21.0</v>
      </c>
      <c r="V422" s="3">
        <v>21.69</v>
      </c>
      <c r="W422" s="3">
        <v>48.5</v>
      </c>
    </row>
    <row r="423" ht="15.75" customHeight="1">
      <c r="A423" s="2" t="s">
        <v>181</v>
      </c>
      <c r="B423" s="3">
        <v>199.22</v>
      </c>
    </row>
    <row r="424" ht="15.75" customHeight="1">
      <c r="A424" s="2" t="s">
        <v>59</v>
      </c>
      <c r="B424" s="3">
        <v>100.0</v>
      </c>
    </row>
    <row r="425" ht="15.75" customHeight="1">
      <c r="A425" s="41" t="s">
        <v>153</v>
      </c>
      <c r="B425" s="41">
        <v>15.0</v>
      </c>
    </row>
    <row r="426" ht="15.75" customHeight="1">
      <c r="A426" s="2" t="s">
        <v>183</v>
      </c>
      <c r="B426" s="3">
        <v>241.44</v>
      </c>
    </row>
    <row r="427" ht="15.75" customHeight="1">
      <c r="A427" s="2" t="s">
        <v>185</v>
      </c>
    </row>
    <row r="428" ht="15.75" customHeight="1"/>
    <row r="429" ht="15.75" customHeight="1"/>
    <row r="430" ht="15.75" customHeight="1">
      <c r="A430" s="43" t="s">
        <v>9</v>
      </c>
    </row>
    <row r="431" ht="15.75" customHeight="1">
      <c r="A431" s="2" t="s">
        <v>0</v>
      </c>
      <c r="B431" s="3">
        <v>26.07</v>
      </c>
      <c r="C431" s="3">
        <v>69.0</v>
      </c>
      <c r="D431" s="3">
        <v>25.9</v>
      </c>
      <c r="E431" s="3">
        <v>38.73</v>
      </c>
      <c r="F431" s="3">
        <v>194.5</v>
      </c>
      <c r="G431" s="3">
        <v>32.23</v>
      </c>
      <c r="H431" s="3">
        <v>46.11</v>
      </c>
      <c r="I431" s="3">
        <v>35.65</v>
      </c>
      <c r="J431" s="44">
        <v>45.0</v>
      </c>
      <c r="K431" s="3">
        <v>37.5</v>
      </c>
      <c r="L431" s="3">
        <v>61.8</v>
      </c>
      <c r="M431" s="3">
        <v>42.5</v>
      </c>
      <c r="N431" s="3">
        <v>34.0</v>
      </c>
      <c r="O431" s="3">
        <v>8.25</v>
      </c>
      <c r="P431" s="3">
        <v>21.48</v>
      </c>
      <c r="Q431" s="3">
        <v>20.0</v>
      </c>
      <c r="R431" s="3">
        <v>15.21</v>
      </c>
      <c r="S431" s="3">
        <v>30.0</v>
      </c>
      <c r="T431" s="3">
        <v>40.84</v>
      </c>
      <c r="U431" s="3">
        <v>36.0</v>
      </c>
      <c r="V431" s="3">
        <v>54.5</v>
      </c>
      <c r="W431" s="3">
        <v>38.93</v>
      </c>
    </row>
    <row r="432" ht="15.75" customHeight="1">
      <c r="A432" s="2" t="s">
        <v>181</v>
      </c>
      <c r="B432" s="3">
        <v>199.22</v>
      </c>
    </row>
    <row r="433" ht="15.75" customHeight="1">
      <c r="A433" s="2" t="s">
        <v>59</v>
      </c>
      <c r="B433" s="3">
        <v>100.0</v>
      </c>
    </row>
    <row r="434" ht="15.75" customHeight="1">
      <c r="A434" s="41" t="s">
        <v>153</v>
      </c>
      <c r="B434" s="41">
        <v>15.0</v>
      </c>
    </row>
    <row r="435" ht="15.75" customHeight="1">
      <c r="A435" s="2" t="s">
        <v>183</v>
      </c>
      <c r="B435" s="3">
        <v>241.36</v>
      </c>
    </row>
    <row r="436" ht="15.75" customHeight="1"/>
    <row r="437" ht="15.75" customHeight="1"/>
    <row r="438" ht="15.75" customHeight="1"/>
    <row r="439" ht="15.75" customHeight="1">
      <c r="A439" s="43" t="s">
        <v>66</v>
      </c>
    </row>
    <row r="440" ht="15.75" customHeight="1">
      <c r="A440" s="2" t="s">
        <v>0</v>
      </c>
      <c r="B440" s="3">
        <v>26.07</v>
      </c>
      <c r="C440" s="3">
        <v>69.0</v>
      </c>
      <c r="D440" s="3">
        <v>25.9</v>
      </c>
      <c r="E440" s="3">
        <v>38.73</v>
      </c>
      <c r="F440" s="3">
        <v>32.23</v>
      </c>
      <c r="G440" s="3">
        <v>46.11</v>
      </c>
      <c r="H440" s="3">
        <v>61.8</v>
      </c>
      <c r="I440" s="3">
        <v>42.5</v>
      </c>
      <c r="J440" s="3">
        <v>54.5</v>
      </c>
      <c r="K440" s="3">
        <v>24.0</v>
      </c>
      <c r="L440" s="3">
        <v>40.0</v>
      </c>
      <c r="M440" s="3">
        <v>28.6</v>
      </c>
      <c r="N440" s="3">
        <v>64.94</v>
      </c>
      <c r="O440" s="3">
        <v>37.2</v>
      </c>
      <c r="P440" s="3">
        <v>37.97</v>
      </c>
      <c r="Q440" s="3">
        <v>37.45</v>
      </c>
      <c r="R440" s="3">
        <v>45.46</v>
      </c>
      <c r="S440" s="3">
        <v>36.83</v>
      </c>
      <c r="T440" s="3">
        <v>37.4</v>
      </c>
      <c r="U440" s="3">
        <v>35.0</v>
      </c>
      <c r="V440" s="3">
        <v>4.5</v>
      </c>
      <c r="W440" s="3">
        <v>6.68</v>
      </c>
      <c r="X440" s="3">
        <v>20.28</v>
      </c>
      <c r="Y440" s="3">
        <v>37.72</v>
      </c>
      <c r="Z440" s="3">
        <v>15.71</v>
      </c>
      <c r="AA440" s="3">
        <v>36.9</v>
      </c>
    </row>
    <row r="441" ht="15.75" customHeight="1">
      <c r="A441" s="2" t="s">
        <v>181</v>
      </c>
      <c r="B441" s="3">
        <v>199.22</v>
      </c>
    </row>
    <row r="442" ht="15.75" customHeight="1">
      <c r="A442" s="2" t="s">
        <v>59</v>
      </c>
      <c r="B442" s="2">
        <v>100.0</v>
      </c>
    </row>
    <row r="443" ht="15.75" customHeight="1">
      <c r="A443" s="41" t="s">
        <v>153</v>
      </c>
      <c r="B443" s="41">
        <v>15.0</v>
      </c>
    </row>
    <row r="444" ht="15.75" customHeight="1">
      <c r="A444" s="2" t="s">
        <v>183</v>
      </c>
      <c r="B444" s="3">
        <v>241.36</v>
      </c>
    </row>
    <row r="445" ht="15.75" customHeight="1">
      <c r="A445" s="2" t="s">
        <v>168</v>
      </c>
      <c r="B445" s="3">
        <v>30.0</v>
      </c>
    </row>
    <row r="446" ht="15.75" customHeight="1">
      <c r="A446" s="2" t="s">
        <v>180</v>
      </c>
      <c r="B446" s="3">
        <v>15.0</v>
      </c>
    </row>
    <row r="447" ht="15.75" customHeight="1"/>
    <row r="448" ht="15.75" customHeight="1">
      <c r="A448" s="43" t="s">
        <v>186</v>
      </c>
    </row>
    <row r="449" ht="15.75" customHeight="1">
      <c r="A449" s="2" t="s">
        <v>0</v>
      </c>
      <c r="B449" s="9">
        <v>26.07</v>
      </c>
      <c r="C449" s="9">
        <v>69.0</v>
      </c>
      <c r="D449" s="9">
        <v>25.9</v>
      </c>
      <c r="E449" s="9">
        <v>38.73</v>
      </c>
      <c r="F449" s="9">
        <v>32.23</v>
      </c>
      <c r="G449" s="9">
        <v>46.11</v>
      </c>
      <c r="H449" s="9">
        <v>61.8</v>
      </c>
      <c r="I449" s="9">
        <v>42.5</v>
      </c>
      <c r="J449" s="9">
        <v>64.94</v>
      </c>
      <c r="K449" s="9">
        <v>37.97</v>
      </c>
      <c r="L449" s="9">
        <v>37.45</v>
      </c>
      <c r="M449" s="9">
        <v>37.4</v>
      </c>
      <c r="N449" s="9">
        <v>37.72</v>
      </c>
      <c r="O449" s="9">
        <v>15.71</v>
      </c>
      <c r="P449" s="9">
        <v>36.9</v>
      </c>
      <c r="Q449" s="9">
        <v>18.15</v>
      </c>
      <c r="R449" s="9">
        <v>119.7</v>
      </c>
      <c r="S449" s="9">
        <v>31.22</v>
      </c>
      <c r="T449" s="9">
        <v>35.9</v>
      </c>
      <c r="U449" s="9">
        <v>17.0</v>
      </c>
      <c r="V449" s="9">
        <v>24.0</v>
      </c>
      <c r="W449" s="9">
        <v>32.0</v>
      </c>
      <c r="X449" s="9">
        <v>40.0</v>
      </c>
      <c r="Y449" s="9">
        <v>27.9</v>
      </c>
      <c r="Z449" s="9">
        <v>6.5</v>
      </c>
      <c r="AA449" s="9">
        <v>9.38</v>
      </c>
      <c r="AB449" s="9">
        <v>17.95</v>
      </c>
      <c r="AC449" s="9">
        <v>21.5</v>
      </c>
      <c r="AD449" s="9">
        <v>23.49</v>
      </c>
      <c r="AE449" s="9">
        <v>18.0</v>
      </c>
      <c r="AF449" s="9">
        <v>13.5</v>
      </c>
      <c r="AG449" s="9">
        <v>18.65</v>
      </c>
      <c r="AH449" s="9">
        <v>43.58</v>
      </c>
      <c r="AI449" s="9">
        <v>94.7</v>
      </c>
      <c r="AJ449" s="9">
        <v>14.28</v>
      </c>
    </row>
    <row r="450" ht="15.75" customHeight="1">
      <c r="A450" s="2" t="s">
        <v>181</v>
      </c>
      <c r="B450" s="9">
        <v>199.22</v>
      </c>
    </row>
    <row r="451" ht="15.75" customHeight="1">
      <c r="A451" s="2" t="s">
        <v>59</v>
      </c>
      <c r="B451" s="9">
        <v>100.0</v>
      </c>
    </row>
    <row r="452" ht="15.75" customHeight="1">
      <c r="A452" s="41" t="s">
        <v>153</v>
      </c>
      <c r="B452" s="41">
        <v>15.0</v>
      </c>
    </row>
    <row r="453" ht="15.75" customHeight="1">
      <c r="A453" s="2" t="s">
        <v>183</v>
      </c>
      <c r="B453" s="9">
        <v>250.0</v>
      </c>
    </row>
    <row r="454" ht="15.75" customHeight="1"/>
    <row r="455" ht="15.75" customHeight="1"/>
    <row r="456" ht="15.75" customHeight="1"/>
    <row r="457" ht="15.75" customHeight="1">
      <c r="A457" s="43" t="s">
        <v>187</v>
      </c>
    </row>
    <row r="458" ht="15.75" customHeight="1">
      <c r="A458" s="2" t="s">
        <v>0</v>
      </c>
      <c r="B458" s="9">
        <v>69.0</v>
      </c>
      <c r="C458" s="9">
        <v>25.9</v>
      </c>
      <c r="D458" s="9">
        <v>46.11</v>
      </c>
      <c r="E458" s="9">
        <v>32.23</v>
      </c>
      <c r="F458" s="9">
        <v>61.8</v>
      </c>
      <c r="G458" s="9">
        <v>42.5</v>
      </c>
      <c r="H458" s="9">
        <v>64.94</v>
      </c>
      <c r="I458" s="9">
        <v>37.97</v>
      </c>
      <c r="J458" s="9">
        <v>31.72</v>
      </c>
      <c r="K458" s="9">
        <v>15.71</v>
      </c>
      <c r="L458" s="9">
        <v>31.22</v>
      </c>
      <c r="M458" s="9">
        <v>14.28</v>
      </c>
      <c r="N458" s="9">
        <v>24.3</v>
      </c>
      <c r="O458" s="9">
        <v>16.97</v>
      </c>
      <c r="P458" s="9">
        <v>22.13</v>
      </c>
      <c r="Q458" s="9">
        <v>14.5</v>
      </c>
      <c r="R458" s="9">
        <v>38.6</v>
      </c>
      <c r="S458" s="9">
        <v>43.0</v>
      </c>
      <c r="T458" s="9">
        <v>50.0</v>
      </c>
      <c r="U458" s="9">
        <v>23.29</v>
      </c>
    </row>
    <row r="459" ht="15.75" customHeight="1">
      <c r="A459" s="2" t="s">
        <v>181</v>
      </c>
      <c r="B459" s="9">
        <v>215.35</v>
      </c>
    </row>
    <row r="460" ht="15.75" customHeight="1">
      <c r="A460" s="2" t="s">
        <v>183</v>
      </c>
      <c r="B460" s="9">
        <v>241.44</v>
      </c>
    </row>
    <row r="461" ht="15.75" customHeight="1">
      <c r="A461" s="2" t="s">
        <v>70</v>
      </c>
      <c r="B461" s="9">
        <v>100.0</v>
      </c>
    </row>
    <row r="462" ht="15.75" customHeight="1">
      <c r="A462" s="2" t="s">
        <v>145</v>
      </c>
      <c r="B462" s="9">
        <v>30.0</v>
      </c>
    </row>
    <row r="463" ht="15.75" customHeight="1">
      <c r="A463" s="2" t="s">
        <v>172</v>
      </c>
      <c r="B463" s="9">
        <v>10.0</v>
      </c>
    </row>
    <row r="464" ht="15.75" customHeight="1"/>
    <row r="465" ht="15.75" customHeight="1"/>
    <row r="466" ht="15.75" customHeight="1">
      <c r="A466" s="43" t="s">
        <v>188</v>
      </c>
    </row>
    <row r="467" ht="15.75" customHeight="1">
      <c r="A467" s="2" t="s">
        <v>0</v>
      </c>
      <c r="B467" s="7">
        <v>69.0</v>
      </c>
      <c r="C467" s="7">
        <v>46.11</v>
      </c>
      <c r="D467" s="7">
        <v>42.5</v>
      </c>
      <c r="E467" s="7">
        <v>37.97</v>
      </c>
      <c r="F467" s="7">
        <v>15.71</v>
      </c>
      <c r="G467" s="7">
        <v>31.22</v>
      </c>
      <c r="H467" s="7">
        <v>14.28</v>
      </c>
      <c r="I467" s="7">
        <v>16.97</v>
      </c>
      <c r="J467" s="7">
        <v>45.35</v>
      </c>
      <c r="K467" s="7">
        <v>54.9</v>
      </c>
      <c r="L467" s="7">
        <v>10.62</v>
      </c>
      <c r="M467" s="7">
        <v>19.9</v>
      </c>
      <c r="N467" s="7">
        <v>27.9</v>
      </c>
      <c r="O467" s="7">
        <v>32.13</v>
      </c>
    </row>
    <row r="468" ht="15.75" customHeight="1">
      <c r="A468" s="2" t="s">
        <v>181</v>
      </c>
      <c r="B468" s="7">
        <v>215.35</v>
      </c>
    </row>
    <row r="469" ht="15.75" customHeight="1">
      <c r="A469" s="2" t="s">
        <v>183</v>
      </c>
      <c r="B469" s="7">
        <v>259.46</v>
      </c>
    </row>
    <row r="470" ht="15.75" customHeight="1">
      <c r="A470" s="2" t="s">
        <v>70</v>
      </c>
      <c r="B470" s="7">
        <v>100.0</v>
      </c>
    </row>
    <row r="471" ht="15.75" customHeight="1"/>
    <row r="472" ht="15.75" customHeight="1"/>
    <row r="473" ht="15.75" customHeight="1"/>
    <row r="474" ht="15.75" customHeight="1"/>
    <row r="475" ht="15.75" customHeight="1">
      <c r="A475" s="43" t="s">
        <v>189</v>
      </c>
    </row>
    <row r="476" ht="15.75" customHeight="1">
      <c r="A476" s="2" t="s">
        <v>0</v>
      </c>
      <c r="B476" s="3">
        <v>69.0</v>
      </c>
      <c r="C476" s="3">
        <v>42.5</v>
      </c>
      <c r="D476" s="3">
        <v>37.97</v>
      </c>
      <c r="E476" s="3">
        <v>15.71</v>
      </c>
      <c r="F476" s="3">
        <v>14.28</v>
      </c>
      <c r="G476" s="3">
        <v>16.97</v>
      </c>
      <c r="H476" s="3">
        <v>54.9</v>
      </c>
      <c r="I476" s="3">
        <v>10.62</v>
      </c>
      <c r="J476" s="3">
        <v>36.8</v>
      </c>
      <c r="K476" s="3">
        <v>38.6</v>
      </c>
      <c r="L476" s="3">
        <v>38.77</v>
      </c>
      <c r="M476" s="3">
        <v>69.84</v>
      </c>
      <c r="N476" s="3">
        <v>37.57</v>
      </c>
      <c r="O476" s="3">
        <v>322.0</v>
      </c>
      <c r="P476" s="3">
        <v>47.3</v>
      </c>
      <c r="Q476" s="3">
        <v>67.8</v>
      </c>
      <c r="R476" s="3">
        <v>46.14</v>
      </c>
    </row>
    <row r="477" ht="15.75" customHeight="1">
      <c r="A477" s="2" t="s">
        <v>181</v>
      </c>
      <c r="B477" s="3">
        <v>215.35</v>
      </c>
    </row>
    <row r="478" ht="15.75" customHeight="1">
      <c r="A478" s="2" t="s">
        <v>183</v>
      </c>
      <c r="B478" s="3">
        <v>259.46</v>
      </c>
    </row>
    <row r="479" ht="15.75" customHeight="1">
      <c r="A479" s="2" t="s">
        <v>70</v>
      </c>
      <c r="B479" s="3">
        <v>200.0</v>
      </c>
    </row>
    <row r="480" ht="15.75" customHeight="1"/>
    <row r="481" ht="15.75" customHeight="1"/>
    <row r="482" ht="15.75" customHeight="1"/>
    <row r="483" ht="15.75" customHeight="1"/>
    <row r="484" ht="15.75" customHeight="1">
      <c r="A484" s="2" t="s">
        <v>73</v>
      </c>
    </row>
    <row r="485" ht="15.75" customHeight="1">
      <c r="A485" s="2" t="s">
        <v>0</v>
      </c>
      <c r="B485" s="3">
        <v>42.5</v>
      </c>
      <c r="C485" s="3">
        <v>37.97</v>
      </c>
      <c r="D485" s="3">
        <v>15.71</v>
      </c>
      <c r="E485" s="3">
        <v>14.28</v>
      </c>
      <c r="F485" s="3">
        <v>16.97</v>
      </c>
      <c r="G485" s="3">
        <v>54.9</v>
      </c>
      <c r="H485" s="3">
        <v>10.62</v>
      </c>
      <c r="I485" s="3">
        <v>322.0</v>
      </c>
      <c r="J485" s="3">
        <v>12.77</v>
      </c>
      <c r="K485" s="3">
        <v>10.0</v>
      </c>
      <c r="L485" s="3">
        <v>31.17</v>
      </c>
      <c r="M485" s="3">
        <v>35.9</v>
      </c>
      <c r="N485" s="3">
        <v>32.93</v>
      </c>
      <c r="O485" s="3">
        <v>31.65</v>
      </c>
      <c r="P485" s="3">
        <v>47.97</v>
      </c>
      <c r="Q485" s="3">
        <v>35.07</v>
      </c>
      <c r="R485" s="3">
        <v>69.84</v>
      </c>
      <c r="S485" s="3">
        <v>58.46</v>
      </c>
      <c r="T485" s="3">
        <v>13.26</v>
      </c>
      <c r="U485" s="3">
        <v>38.6</v>
      </c>
      <c r="V485" s="3">
        <v>18.46</v>
      </c>
      <c r="W485" s="3">
        <v>5.5</v>
      </c>
    </row>
    <row r="486" ht="15.75" customHeight="1">
      <c r="A486" s="2" t="s">
        <v>181</v>
      </c>
      <c r="B486" s="3">
        <v>215.35</v>
      </c>
    </row>
    <row r="487" ht="15.75" customHeight="1">
      <c r="A487" s="2" t="s">
        <v>183</v>
      </c>
      <c r="B487" s="3">
        <v>259.46</v>
      </c>
    </row>
    <row r="488" ht="15.75" customHeight="1">
      <c r="A488" s="2" t="s">
        <v>70</v>
      </c>
      <c r="B488" s="3">
        <v>100.0</v>
      </c>
    </row>
    <row r="489" ht="15.75" customHeight="1"/>
    <row r="490" ht="15.75" customHeight="1"/>
    <row r="491" ht="15.75" customHeight="1"/>
    <row r="492" ht="15.75" customHeight="1"/>
    <row r="493" ht="15.75" customHeight="1">
      <c r="A493" s="2" t="s">
        <v>16</v>
      </c>
    </row>
    <row r="494" ht="15.75" customHeight="1">
      <c r="A494" s="2" t="s">
        <v>0</v>
      </c>
      <c r="B494" s="3">
        <v>42.5</v>
      </c>
      <c r="C494" s="3">
        <v>37.97</v>
      </c>
      <c r="D494" s="3">
        <v>15.71</v>
      </c>
      <c r="E494" s="3">
        <v>14.28</v>
      </c>
      <c r="F494" s="3">
        <v>16.97</v>
      </c>
      <c r="G494" s="3">
        <v>54.9</v>
      </c>
      <c r="H494" s="3">
        <v>322.0</v>
      </c>
      <c r="I494" s="3">
        <v>69.84</v>
      </c>
      <c r="J494" s="3">
        <v>31.65</v>
      </c>
      <c r="K494" s="3">
        <v>11.75</v>
      </c>
      <c r="L494" s="3">
        <v>73.81</v>
      </c>
      <c r="M494" s="3">
        <v>32.5</v>
      </c>
      <c r="N494" s="3">
        <v>27.86</v>
      </c>
      <c r="O494" s="3">
        <v>24.31</v>
      </c>
      <c r="P494" s="3">
        <v>27.5</v>
      </c>
      <c r="Q494" s="3">
        <v>52.35</v>
      </c>
      <c r="R494" s="3">
        <v>47.93</v>
      </c>
      <c r="S494" s="3"/>
      <c r="T494" s="3"/>
    </row>
    <row r="495" ht="15.75" customHeight="1">
      <c r="A495" s="2" t="s">
        <v>181</v>
      </c>
      <c r="B495" s="3">
        <v>215.35</v>
      </c>
    </row>
    <row r="496" ht="15.75" customHeight="1">
      <c r="A496" s="2" t="s">
        <v>183</v>
      </c>
      <c r="B496" s="3">
        <v>284.46</v>
      </c>
    </row>
    <row r="497" ht="15.75" customHeight="1">
      <c r="A497" s="2" t="s">
        <v>70</v>
      </c>
      <c r="B497" s="3">
        <v>100.0</v>
      </c>
    </row>
    <row r="498" ht="15.75" customHeight="1">
      <c r="A498" s="2" t="s">
        <v>190</v>
      </c>
      <c r="B498" s="3">
        <v>92.53</v>
      </c>
      <c r="C498" s="3">
        <v>68.1</v>
      </c>
    </row>
    <row r="499" ht="15.75" customHeight="1"/>
    <row r="500" ht="15.75" customHeight="1"/>
    <row r="501" ht="15.75" customHeight="1"/>
    <row r="502" ht="15.75" customHeight="1">
      <c r="A502" s="2" t="s">
        <v>17</v>
      </c>
    </row>
    <row r="503" ht="15.75" customHeight="1">
      <c r="A503" s="2" t="s">
        <v>0</v>
      </c>
      <c r="B503" s="3">
        <v>42.5</v>
      </c>
      <c r="C503" s="3">
        <v>37.97</v>
      </c>
      <c r="D503" s="3">
        <v>15.71</v>
      </c>
      <c r="E503" s="3">
        <v>14.28</v>
      </c>
      <c r="F503" s="3">
        <v>54.9</v>
      </c>
      <c r="G503" s="3">
        <v>31.65</v>
      </c>
      <c r="H503" s="3">
        <v>32.5</v>
      </c>
      <c r="I503" s="3">
        <v>52.35</v>
      </c>
      <c r="J503" s="3">
        <v>47.93</v>
      </c>
      <c r="K503" s="3">
        <v>11.75</v>
      </c>
      <c r="L503" s="3">
        <v>30.0</v>
      </c>
      <c r="M503" s="3">
        <v>78.84</v>
      </c>
      <c r="N503" s="3">
        <v>120.0</v>
      </c>
      <c r="O503" s="3">
        <v>19.5</v>
      </c>
      <c r="P503" s="3">
        <v>28.29</v>
      </c>
      <c r="Q503" s="3">
        <v>39.98</v>
      </c>
    </row>
    <row r="504" ht="15.75" customHeight="1">
      <c r="A504" s="2" t="s">
        <v>181</v>
      </c>
      <c r="B504" s="3">
        <v>215.35</v>
      </c>
    </row>
    <row r="505" ht="15.75" customHeight="1">
      <c r="A505" s="2" t="s">
        <v>183</v>
      </c>
      <c r="B505" s="3">
        <v>259.46</v>
      </c>
    </row>
    <row r="506" ht="15.75" customHeight="1">
      <c r="A506" s="2" t="s">
        <v>70</v>
      </c>
      <c r="B506" s="3">
        <v>100.0</v>
      </c>
    </row>
    <row r="507" ht="15.75" customHeight="1">
      <c r="A507" s="2" t="s">
        <v>190</v>
      </c>
      <c r="B507" s="3">
        <v>92.53</v>
      </c>
    </row>
    <row r="508" ht="15.75" customHeight="1"/>
    <row r="509" ht="15.75" customHeight="1"/>
    <row r="510" ht="15.75" customHeight="1"/>
    <row r="511" ht="15.75" customHeight="1">
      <c r="A511" s="2" t="s">
        <v>18</v>
      </c>
    </row>
    <row r="512" ht="15.75" customHeight="1">
      <c r="A512" s="2" t="s">
        <v>0</v>
      </c>
      <c r="B512" s="7">
        <v>37.97</v>
      </c>
      <c r="C512" s="7">
        <v>15.71</v>
      </c>
      <c r="D512" s="7">
        <v>14.28</v>
      </c>
      <c r="E512" s="7">
        <v>54.9</v>
      </c>
      <c r="F512" s="7">
        <v>47.44</v>
      </c>
      <c r="G512" s="7">
        <v>11.75</v>
      </c>
      <c r="H512" s="7">
        <v>28.29</v>
      </c>
      <c r="I512" s="7">
        <v>39.98</v>
      </c>
      <c r="J512" s="7">
        <v>160.0</v>
      </c>
      <c r="K512" s="2">
        <v>95.0</v>
      </c>
      <c r="L512" s="7">
        <v>60.52</v>
      </c>
      <c r="M512" s="7">
        <v>24.9</v>
      </c>
      <c r="N512" s="7">
        <v>18.48</v>
      </c>
      <c r="O512" s="7">
        <v>22.08</v>
      </c>
      <c r="P512" s="7">
        <v>23.76</v>
      </c>
      <c r="Q512" s="7">
        <v>62.9</v>
      </c>
      <c r="R512" s="7">
        <v>113.18</v>
      </c>
      <c r="S512" s="7">
        <v>18.2</v>
      </c>
    </row>
    <row r="513" ht="15.75" customHeight="1">
      <c r="A513" s="2" t="s">
        <v>181</v>
      </c>
      <c r="B513" s="7">
        <v>215.35</v>
      </c>
    </row>
    <row r="514" ht="15.75" customHeight="1">
      <c r="A514" s="2" t="s">
        <v>183</v>
      </c>
      <c r="B514" s="7">
        <v>259.46</v>
      </c>
    </row>
    <row r="515" ht="15.75" customHeight="1">
      <c r="A515" s="2" t="s">
        <v>70</v>
      </c>
      <c r="B515" s="7">
        <v>100.0</v>
      </c>
    </row>
    <row r="516" ht="15.75" customHeight="1">
      <c r="A516" s="2" t="s">
        <v>190</v>
      </c>
      <c r="B516" s="7">
        <v>92.53</v>
      </c>
      <c r="C516" s="7">
        <v>79.25</v>
      </c>
    </row>
    <row r="517" ht="15.75" customHeight="1">
      <c r="A517" s="7"/>
    </row>
    <row r="518" ht="15.75" customHeight="1"/>
    <row r="519" ht="15.75" customHeight="1"/>
    <row r="520" ht="15.75" customHeight="1">
      <c r="A520" s="2" t="s">
        <v>19</v>
      </c>
    </row>
    <row r="521" ht="15.75" customHeight="1">
      <c r="A521" s="2" t="s">
        <v>0</v>
      </c>
      <c r="B521" s="7">
        <v>37.97</v>
      </c>
      <c r="C521" s="7">
        <v>15.71</v>
      </c>
      <c r="D521" s="7">
        <v>14.28</v>
      </c>
      <c r="E521" s="7">
        <v>54.9</v>
      </c>
      <c r="F521" s="7">
        <v>11.75</v>
      </c>
      <c r="G521" s="7">
        <v>28.29</v>
      </c>
      <c r="H521" s="7">
        <v>39.98</v>
      </c>
      <c r="I521" s="7">
        <v>18.48</v>
      </c>
      <c r="J521" s="7">
        <v>47.44</v>
      </c>
      <c r="K521" s="7">
        <v>113.17</v>
      </c>
      <c r="L521" s="7">
        <v>60.52</v>
      </c>
      <c r="M521" s="7">
        <v>24.9</v>
      </c>
      <c r="N521" s="7">
        <v>22.08</v>
      </c>
      <c r="O521" s="7">
        <v>23.76</v>
      </c>
      <c r="P521" s="7">
        <v>62.9</v>
      </c>
      <c r="Q521" s="7">
        <v>18.2</v>
      </c>
      <c r="R521" s="7">
        <v>160.0</v>
      </c>
    </row>
    <row r="522" ht="15.75" customHeight="1">
      <c r="A522" s="2" t="s">
        <v>181</v>
      </c>
      <c r="B522" s="7">
        <v>215.35</v>
      </c>
    </row>
    <row r="523" ht="15.75" customHeight="1">
      <c r="A523" s="2" t="s">
        <v>183</v>
      </c>
      <c r="B523" s="7">
        <v>259.46</v>
      </c>
    </row>
    <row r="524" ht="15.75" customHeight="1">
      <c r="A524" s="2" t="s">
        <v>70</v>
      </c>
      <c r="B524" s="7">
        <v>100.0</v>
      </c>
    </row>
    <row r="525" ht="15.75" customHeight="1">
      <c r="A525" s="2" t="s">
        <v>145</v>
      </c>
      <c r="B525" s="7">
        <v>30.0</v>
      </c>
    </row>
    <row r="526" ht="15.75" customHeight="1">
      <c r="A526" s="2" t="s">
        <v>191</v>
      </c>
      <c r="B526" s="7">
        <v>30.0</v>
      </c>
    </row>
    <row r="527" ht="15.75" customHeight="1"/>
    <row r="528" ht="15.75" customHeight="1"/>
    <row r="529" ht="15.75" customHeight="1">
      <c r="A529" s="2" t="s">
        <v>20</v>
      </c>
    </row>
    <row r="530" ht="15.75" customHeight="1">
      <c r="A530" s="2" t="s">
        <v>0</v>
      </c>
      <c r="B530" s="3">
        <v>15.71</v>
      </c>
      <c r="C530" s="3">
        <v>14.28</v>
      </c>
      <c r="D530" s="3">
        <v>54.9</v>
      </c>
      <c r="E530" s="3">
        <v>11.75</v>
      </c>
      <c r="F530" s="3">
        <v>28.29</v>
      </c>
      <c r="G530" s="3">
        <v>39.98</v>
      </c>
      <c r="H530" s="3">
        <v>18.48</v>
      </c>
      <c r="I530" s="3">
        <v>47.44</v>
      </c>
      <c r="J530" s="3">
        <v>113.18</v>
      </c>
      <c r="K530" s="3">
        <v>79.8</v>
      </c>
      <c r="L530" s="3">
        <v>11.5</v>
      </c>
      <c r="M530" s="3">
        <v>27.9</v>
      </c>
      <c r="N530" s="3">
        <v>28.11</v>
      </c>
      <c r="O530" s="3">
        <v>17.9</v>
      </c>
      <c r="P530" s="3">
        <v>79.0</v>
      </c>
      <c r="Q530" s="3">
        <v>160.0</v>
      </c>
      <c r="R530" s="3">
        <v>30.6</v>
      </c>
      <c r="S530" s="3">
        <v>39.9</v>
      </c>
      <c r="T530" s="3">
        <v>12.07</v>
      </c>
      <c r="U530" s="3">
        <v>35.83</v>
      </c>
      <c r="V530" s="3">
        <v>39.02</v>
      </c>
    </row>
    <row r="531" ht="15.75" customHeight="1">
      <c r="A531" s="2" t="s">
        <v>181</v>
      </c>
      <c r="B531" s="3">
        <v>215.35</v>
      </c>
    </row>
    <row r="532" ht="15.75" customHeight="1">
      <c r="A532" s="2" t="s">
        <v>183</v>
      </c>
      <c r="B532" s="3">
        <v>251.06</v>
      </c>
    </row>
    <row r="533" ht="15.75" customHeight="1">
      <c r="A533" s="2" t="s">
        <v>70</v>
      </c>
      <c r="B533" s="3">
        <v>100.0</v>
      </c>
    </row>
    <row r="534" ht="15.75" customHeight="1"/>
    <row r="535" ht="15.75" customHeight="1"/>
    <row r="536" ht="15.75" customHeight="1"/>
    <row r="537" ht="15.75" customHeight="1"/>
    <row r="538" ht="15.75" customHeight="1">
      <c r="A538" s="2" t="s">
        <v>21</v>
      </c>
    </row>
    <row r="539" ht="15.75" customHeight="1">
      <c r="A539" s="2" t="s">
        <v>0</v>
      </c>
      <c r="B539" s="3">
        <v>15.71</v>
      </c>
      <c r="C539" s="3">
        <v>186.68</v>
      </c>
      <c r="D539" s="3">
        <v>54.99</v>
      </c>
      <c r="E539" s="3">
        <v>11.75</v>
      </c>
      <c r="F539" s="3">
        <v>39.98</v>
      </c>
      <c r="G539" s="3">
        <v>18.48</v>
      </c>
      <c r="H539" s="3">
        <v>47.44</v>
      </c>
      <c r="I539" s="3">
        <v>79.0</v>
      </c>
      <c r="J539" s="3">
        <v>30.6</v>
      </c>
      <c r="K539" s="3">
        <v>21.9</v>
      </c>
      <c r="L539" s="3">
        <v>35.83</v>
      </c>
      <c r="M539" s="3">
        <v>113.18</v>
      </c>
      <c r="N539" s="3">
        <v>37.85</v>
      </c>
      <c r="O539" s="3">
        <v>120.0</v>
      </c>
      <c r="P539" s="3"/>
    </row>
    <row r="540" ht="15.75" customHeight="1">
      <c r="A540" s="2" t="s">
        <v>181</v>
      </c>
      <c r="B540" s="3">
        <v>215.35</v>
      </c>
    </row>
    <row r="541" ht="15.75" customHeight="1">
      <c r="A541" s="2" t="s">
        <v>183</v>
      </c>
      <c r="B541" s="3">
        <v>259.46</v>
      </c>
    </row>
    <row r="542" ht="15.75" customHeight="1">
      <c r="A542" s="2" t="s">
        <v>70</v>
      </c>
      <c r="B542" s="3">
        <v>100.0</v>
      </c>
    </row>
    <row r="543" ht="15.75" customHeight="1">
      <c r="A543" s="45" t="s">
        <v>149</v>
      </c>
      <c r="B543" s="3">
        <v>100.0</v>
      </c>
    </row>
    <row r="544" ht="15.75" customHeight="1"/>
    <row r="545" ht="15.75" customHeight="1"/>
    <row r="546" ht="15.75" customHeight="1"/>
    <row r="547" ht="15.75" customHeight="1">
      <c r="A547" s="2" t="s">
        <v>22</v>
      </c>
      <c r="V547" s="2">
        <v>924.99</v>
      </c>
    </row>
    <row r="548" ht="15.75" customHeight="1">
      <c r="A548" s="2" t="s">
        <v>0</v>
      </c>
      <c r="B548" s="2">
        <v>14.28</v>
      </c>
      <c r="C548" s="3">
        <v>54.99</v>
      </c>
      <c r="D548" s="3">
        <v>11.75</v>
      </c>
      <c r="E548" s="3">
        <v>18.48</v>
      </c>
      <c r="F548" s="3">
        <v>47.44</v>
      </c>
      <c r="G548" s="3">
        <v>79.0</v>
      </c>
      <c r="H548" s="3">
        <v>30.6</v>
      </c>
      <c r="I548" s="3">
        <v>22.56</v>
      </c>
      <c r="J548" s="3">
        <v>11.3</v>
      </c>
      <c r="K548" s="3">
        <v>62.35</v>
      </c>
      <c r="L548" s="3">
        <v>17.99</v>
      </c>
      <c r="M548" s="3">
        <v>186.68</v>
      </c>
      <c r="N548" s="3">
        <v>35.0</v>
      </c>
      <c r="O548" s="3">
        <v>17.39</v>
      </c>
      <c r="P548" s="3">
        <v>21.13</v>
      </c>
      <c r="Q548" s="3">
        <v>69.0</v>
      </c>
      <c r="R548" s="3">
        <v>120.0</v>
      </c>
      <c r="S548" s="3">
        <v>16.91</v>
      </c>
      <c r="T548" s="3">
        <v>93.34</v>
      </c>
      <c r="U548" s="3">
        <v>9.08</v>
      </c>
    </row>
    <row r="549" ht="15.75" customHeight="1">
      <c r="A549" s="2" t="s">
        <v>181</v>
      </c>
      <c r="B549" s="3">
        <v>215.16</v>
      </c>
    </row>
    <row r="550" ht="15.75" customHeight="1">
      <c r="A550" s="2" t="s">
        <v>183</v>
      </c>
      <c r="B550" s="3">
        <v>254.66</v>
      </c>
    </row>
    <row r="551" ht="15.75" customHeight="1">
      <c r="A551" s="2" t="s">
        <v>70</v>
      </c>
      <c r="B551" s="3">
        <v>100.0</v>
      </c>
    </row>
    <row r="552" ht="15.75" customHeight="1">
      <c r="A552" s="2" t="s">
        <v>192</v>
      </c>
      <c r="B552" s="3">
        <v>3.0</v>
      </c>
      <c r="C552" s="3">
        <v>42.0</v>
      </c>
      <c r="D552" s="3">
        <v>65.0</v>
      </c>
      <c r="E552" s="3">
        <v>12.98</v>
      </c>
      <c r="F552" s="3">
        <v>19.99</v>
      </c>
      <c r="G552" s="3">
        <v>89.9</v>
      </c>
    </row>
    <row r="553" ht="15.75" customHeight="1"/>
    <row r="554" ht="15.75" customHeight="1"/>
    <row r="555" ht="15.75" customHeight="1"/>
    <row r="556" ht="15.75" customHeight="1">
      <c r="A556" s="2" t="s">
        <v>23</v>
      </c>
    </row>
    <row r="557" ht="15.75" customHeight="1">
      <c r="A557" s="2" t="s">
        <v>0</v>
      </c>
      <c r="B557" s="3">
        <v>20.0</v>
      </c>
      <c r="C557" s="3">
        <v>54.99</v>
      </c>
      <c r="D557" s="3">
        <v>11.75</v>
      </c>
      <c r="E557" s="3">
        <v>18.48</v>
      </c>
      <c r="F557" s="3">
        <v>79.0</v>
      </c>
      <c r="G557" s="3">
        <v>62.35</v>
      </c>
      <c r="H557" s="3">
        <v>186.68</v>
      </c>
      <c r="I557" s="3">
        <v>17.39</v>
      </c>
      <c r="J557" s="3">
        <v>93.34</v>
      </c>
      <c r="K557" s="3">
        <v>80.0</v>
      </c>
      <c r="L557" s="3">
        <v>26.82</v>
      </c>
      <c r="M557" s="3">
        <v>88.0</v>
      </c>
      <c r="N557" s="3">
        <v>37.52</v>
      </c>
      <c r="O557" s="3">
        <v>18.28</v>
      </c>
      <c r="P557" s="3">
        <v>80.0</v>
      </c>
      <c r="Q557" s="3">
        <v>10.67</v>
      </c>
      <c r="R557" s="3">
        <v>33.3</v>
      </c>
      <c r="S557" s="3">
        <v>37.88</v>
      </c>
      <c r="T557" s="3">
        <v>17.12</v>
      </c>
    </row>
    <row r="558" ht="15.75" customHeight="1">
      <c r="A558" s="2" t="s">
        <v>183</v>
      </c>
      <c r="B558" s="3">
        <v>254.66</v>
      </c>
    </row>
    <row r="559" ht="15.75" customHeight="1">
      <c r="A559" s="2" t="s">
        <v>181</v>
      </c>
      <c r="B559" s="3">
        <v>215.16</v>
      </c>
    </row>
    <row r="560" ht="15.75" customHeight="1">
      <c r="A560" s="2" t="s">
        <v>70</v>
      </c>
      <c r="B560" s="3">
        <v>150.0</v>
      </c>
    </row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>
      <c r="A566" s="2" t="s">
        <v>74</v>
      </c>
    </row>
    <row r="567" ht="15.75" customHeight="1">
      <c r="A567" s="2" t="s">
        <v>0</v>
      </c>
      <c r="B567" s="3">
        <v>11.75</v>
      </c>
      <c r="C567" s="3">
        <v>18.48</v>
      </c>
      <c r="D567" s="3">
        <v>79.0</v>
      </c>
      <c r="E567" s="3">
        <v>17.39</v>
      </c>
      <c r="F567" s="3">
        <v>93.34</v>
      </c>
      <c r="G567" s="3">
        <v>37.52</v>
      </c>
      <c r="H567" s="3">
        <v>72.67</v>
      </c>
      <c r="I567" s="3">
        <v>27.86</v>
      </c>
      <c r="J567" s="3">
        <v>33.3</v>
      </c>
      <c r="K567" s="3">
        <v>37.88</v>
      </c>
      <c r="L567" s="3">
        <v>20.0</v>
      </c>
      <c r="M567" s="3">
        <v>54.99</v>
      </c>
      <c r="N567" s="3">
        <v>190.0</v>
      </c>
      <c r="O567" s="3">
        <v>52.35</v>
      </c>
      <c r="P567" s="3">
        <v>14.88</v>
      </c>
      <c r="Q567" s="3">
        <v>9.12</v>
      </c>
      <c r="R567" s="3">
        <v>51.73</v>
      </c>
      <c r="S567" s="3">
        <v>100.4</v>
      </c>
      <c r="T567" s="3">
        <v>33.7</v>
      </c>
    </row>
    <row r="568" ht="15.75" customHeight="1">
      <c r="A568" s="2" t="s">
        <v>70</v>
      </c>
      <c r="B568" s="3">
        <v>100.0</v>
      </c>
    </row>
    <row r="569" ht="15.75" customHeight="1">
      <c r="A569" s="2" t="s">
        <v>183</v>
      </c>
      <c r="B569" s="3">
        <v>272.16</v>
      </c>
    </row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>
      <c r="A576" s="2" t="s">
        <v>25</v>
      </c>
    </row>
    <row r="577" ht="15.75" customHeight="1">
      <c r="A577" s="2" t="s">
        <v>0</v>
      </c>
      <c r="B577" s="7">
        <v>11.75</v>
      </c>
      <c r="C577" s="7">
        <v>18.48</v>
      </c>
      <c r="D577" s="7">
        <v>79.0</v>
      </c>
      <c r="E577" s="7">
        <v>37.52</v>
      </c>
      <c r="F577" s="7">
        <v>33.3</v>
      </c>
      <c r="G577" s="7">
        <v>37.88</v>
      </c>
      <c r="H577" s="7">
        <v>20.0</v>
      </c>
      <c r="I577" s="7">
        <v>54.99</v>
      </c>
      <c r="J577" s="7">
        <v>52.35</v>
      </c>
      <c r="K577" s="7">
        <v>100.4</v>
      </c>
      <c r="L577" s="7">
        <v>150.0</v>
      </c>
      <c r="M577" s="7">
        <v>21.45</v>
      </c>
      <c r="N577" s="7">
        <v>300.0</v>
      </c>
      <c r="O577" s="7">
        <v>25.9</v>
      </c>
      <c r="P577" s="7">
        <v>16.81</v>
      </c>
    </row>
    <row r="578" ht="15.75" customHeight="1">
      <c r="A578" s="2" t="s">
        <v>183</v>
      </c>
      <c r="B578" s="7">
        <v>268.2</v>
      </c>
    </row>
    <row r="579" ht="15.75" customHeight="1">
      <c r="A579" s="2" t="s">
        <v>70</v>
      </c>
      <c r="B579" s="3">
        <v>200.0</v>
      </c>
    </row>
    <row r="580" ht="15.75" customHeight="1">
      <c r="A580" s="2" t="s">
        <v>193</v>
      </c>
      <c r="B580" s="7">
        <v>200.0</v>
      </c>
    </row>
    <row r="581" ht="15.75" customHeight="1">
      <c r="A581" s="2" t="s">
        <v>194</v>
      </c>
      <c r="B581" s="3">
        <v>171.0</v>
      </c>
    </row>
    <row r="582" ht="15.75" customHeight="1"/>
    <row r="583" ht="15.75" customHeight="1"/>
    <row r="584" ht="15.75" customHeight="1"/>
    <row r="585" ht="15.75" customHeight="1"/>
    <row r="586" ht="15.75" customHeight="1">
      <c r="A586" s="2" t="s">
        <v>75</v>
      </c>
    </row>
    <row r="587" ht="15.75" customHeight="1">
      <c r="A587" s="2" t="s">
        <v>0</v>
      </c>
      <c r="B587" s="3">
        <v>11.75</v>
      </c>
      <c r="C587" s="3">
        <v>18.48</v>
      </c>
      <c r="D587" s="3">
        <v>79.0</v>
      </c>
      <c r="E587" s="3">
        <v>37.52</v>
      </c>
      <c r="F587" s="3">
        <v>37.88</v>
      </c>
      <c r="G587" s="3">
        <v>20.0</v>
      </c>
      <c r="H587" s="3">
        <v>52.35</v>
      </c>
      <c r="I587" s="3">
        <v>100.4</v>
      </c>
      <c r="J587" s="3">
        <v>65.33</v>
      </c>
      <c r="K587" s="3">
        <v>45.95</v>
      </c>
      <c r="L587" s="3">
        <v>171.0</v>
      </c>
      <c r="M587" s="3">
        <v>31.26</v>
      </c>
      <c r="N587" s="3">
        <v>28.99</v>
      </c>
      <c r="O587" s="3">
        <v>54.99</v>
      </c>
      <c r="P587" s="3">
        <v>49.9</v>
      </c>
      <c r="Q587" s="3">
        <v>160.0</v>
      </c>
      <c r="R587" s="3">
        <v>30.0</v>
      </c>
      <c r="S587" s="3">
        <v>72.2</v>
      </c>
      <c r="T587" s="3">
        <v>25.55</v>
      </c>
      <c r="U587" s="3">
        <v>90.0</v>
      </c>
      <c r="V587" s="3">
        <v>11.25</v>
      </c>
    </row>
    <row r="588" ht="15.75" customHeight="1">
      <c r="A588" s="2" t="s">
        <v>183</v>
      </c>
      <c r="B588" s="3">
        <v>268.2</v>
      </c>
    </row>
    <row r="589" ht="15.75" customHeight="1">
      <c r="A589" s="2" t="s">
        <v>70</v>
      </c>
      <c r="B589" s="3">
        <v>200.0</v>
      </c>
    </row>
    <row r="590" ht="15.75" customHeight="1">
      <c r="A590" s="2" t="s">
        <v>195</v>
      </c>
      <c r="B590" s="3">
        <v>196.0</v>
      </c>
    </row>
    <row r="591" ht="15.75" customHeight="1">
      <c r="A591" s="2" t="s">
        <v>196</v>
      </c>
      <c r="B591" s="3">
        <v>58.2</v>
      </c>
    </row>
    <row r="592" ht="15.75" customHeight="1"/>
    <row r="593" ht="15.75" customHeight="1"/>
    <row r="594" ht="15.75" customHeight="1"/>
    <row r="595" ht="15.75" customHeight="1"/>
    <row r="596" ht="15.75" customHeight="1">
      <c r="A596" s="2" t="s">
        <v>76</v>
      </c>
    </row>
    <row r="597" ht="15.75" customHeight="1">
      <c r="A597" s="2" t="s">
        <v>0</v>
      </c>
      <c r="B597" s="3">
        <v>11.75</v>
      </c>
      <c r="C597" s="3">
        <v>18.48</v>
      </c>
      <c r="D597" s="3">
        <v>79.0</v>
      </c>
      <c r="E597" s="3">
        <v>37.88</v>
      </c>
      <c r="F597" s="3">
        <v>20.0</v>
      </c>
      <c r="G597" s="3">
        <v>52.35</v>
      </c>
      <c r="H597" s="3">
        <v>100.4</v>
      </c>
      <c r="I597" s="3">
        <v>45.95</v>
      </c>
      <c r="J597" s="3">
        <v>171.0</v>
      </c>
      <c r="K597" s="3">
        <v>54.99</v>
      </c>
      <c r="L597" s="3">
        <v>49.9</v>
      </c>
      <c r="M597" s="3">
        <v>72.2</v>
      </c>
      <c r="N597" s="3">
        <v>11.25</v>
      </c>
      <c r="O597" s="3">
        <v>190.0</v>
      </c>
      <c r="P597" s="3">
        <v>25.08</v>
      </c>
      <c r="Q597" s="3">
        <v>13.28</v>
      </c>
      <c r="R597" s="3">
        <v>19.99</v>
      </c>
      <c r="S597" s="3">
        <v>58.56</v>
      </c>
      <c r="T597" s="3"/>
    </row>
    <row r="598" ht="15.75" customHeight="1">
      <c r="A598" s="2" t="s">
        <v>183</v>
      </c>
      <c r="B598" s="3">
        <v>271.2</v>
      </c>
    </row>
    <row r="599" ht="15.75" customHeight="1">
      <c r="A599" s="2" t="s">
        <v>70</v>
      </c>
      <c r="B599" s="3">
        <v>200.0</v>
      </c>
    </row>
    <row r="600" ht="15.75" customHeight="1">
      <c r="A600" s="2" t="s">
        <v>197</v>
      </c>
      <c r="B600" s="3">
        <v>196.0</v>
      </c>
    </row>
    <row r="601" ht="15.75" customHeight="1">
      <c r="A601" s="2" t="s">
        <v>198</v>
      </c>
      <c r="B601" s="3">
        <v>15.0</v>
      </c>
    </row>
    <row r="602" ht="15.75" customHeight="1"/>
    <row r="603" ht="15.75" customHeight="1"/>
    <row r="604" ht="15.75" customHeight="1"/>
    <row r="605" ht="15.75" customHeight="1"/>
    <row r="606" ht="15.75" customHeight="1">
      <c r="A606" s="2" t="s">
        <v>28</v>
      </c>
      <c r="P606" s="3"/>
    </row>
    <row r="607" ht="15.75" customHeight="1">
      <c r="A607" s="2" t="s">
        <v>0</v>
      </c>
      <c r="B607" s="3">
        <v>79.0</v>
      </c>
      <c r="C607" s="3">
        <v>20.0</v>
      </c>
      <c r="D607" s="3">
        <v>23.64</v>
      </c>
      <c r="E607" s="3">
        <v>100.4</v>
      </c>
      <c r="F607" s="3">
        <v>54.99</v>
      </c>
      <c r="G607" s="3">
        <v>49.9</v>
      </c>
      <c r="H607" s="3">
        <v>72.2</v>
      </c>
      <c r="I607" s="3">
        <v>58.56</v>
      </c>
      <c r="J607" s="3">
        <v>200.0</v>
      </c>
      <c r="K607" s="3">
        <v>48.2</v>
      </c>
      <c r="L607" s="3">
        <v>12.1</v>
      </c>
      <c r="M607" s="3">
        <v>29.93</v>
      </c>
      <c r="N607" s="3">
        <v>18.48</v>
      </c>
      <c r="O607" s="3">
        <v>7.5</v>
      </c>
      <c r="P607" s="3">
        <v>19.9</v>
      </c>
      <c r="Q607" s="3">
        <v>20.0</v>
      </c>
    </row>
    <row r="608" ht="15.75" customHeight="1">
      <c r="A608" s="2" t="s">
        <v>183</v>
      </c>
      <c r="B608" s="3">
        <v>271.2</v>
      </c>
    </row>
    <row r="609" ht="15.75" customHeight="1">
      <c r="A609" s="2" t="s">
        <v>70</v>
      </c>
      <c r="B609" s="3">
        <v>100.0</v>
      </c>
    </row>
    <row r="610" ht="15.75" customHeight="1">
      <c r="A610" s="2" t="s">
        <v>197</v>
      </c>
      <c r="B610" s="3">
        <v>196.0</v>
      </c>
    </row>
    <row r="611" ht="15.75" customHeight="1"/>
    <row r="612" ht="15.75" customHeight="1"/>
    <row r="613" ht="15.75" customHeight="1"/>
    <row r="614" ht="15.75" customHeight="1"/>
    <row r="615" ht="15.75" customHeight="1">
      <c r="A615" s="2" t="s">
        <v>29</v>
      </c>
    </row>
    <row r="616" ht="15.75" customHeight="1">
      <c r="A616" s="2" t="s">
        <v>199</v>
      </c>
      <c r="B616" s="3">
        <v>79.0</v>
      </c>
      <c r="C616" s="3">
        <v>20.0</v>
      </c>
      <c r="D616" s="3">
        <v>54.99</v>
      </c>
      <c r="E616" s="3">
        <v>72.2</v>
      </c>
      <c r="F616" s="3">
        <v>58.56</v>
      </c>
      <c r="G616" s="3">
        <v>48.2</v>
      </c>
      <c r="H616" s="3">
        <v>12.1</v>
      </c>
      <c r="I616" s="3">
        <v>25.45</v>
      </c>
      <c r="J616" s="3">
        <v>26.66</v>
      </c>
      <c r="K616" s="3">
        <v>50.0</v>
      </c>
      <c r="L616" s="3">
        <v>46.64</v>
      </c>
      <c r="M616" s="3">
        <v>34.68</v>
      </c>
      <c r="N616" s="3">
        <v>110.0</v>
      </c>
      <c r="O616" s="3">
        <v>26.42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2" t="s">
        <v>183</v>
      </c>
      <c r="B617" s="3">
        <v>271.2</v>
      </c>
    </row>
    <row r="618" ht="15.75" customHeight="1">
      <c r="A618" s="2" t="s">
        <v>70</v>
      </c>
      <c r="B618" s="2">
        <v>200.0</v>
      </c>
    </row>
    <row r="619" ht="15.75" customHeight="1">
      <c r="A619" s="2" t="s">
        <v>197</v>
      </c>
      <c r="B619" s="3">
        <v>196.0</v>
      </c>
    </row>
    <row r="620" ht="15.75" customHeight="1">
      <c r="A620" s="2" t="s">
        <v>57</v>
      </c>
      <c r="B620" s="2">
        <v>30.0</v>
      </c>
    </row>
    <row r="621" ht="15.75" customHeight="1"/>
    <row r="622" ht="15.75" customHeight="1"/>
    <row r="623" ht="15.75" customHeight="1"/>
    <row r="624" ht="15.75" customHeight="1"/>
    <row r="625" ht="15.75" customHeight="1">
      <c r="A625" s="2" t="s">
        <v>30</v>
      </c>
    </row>
    <row r="626" ht="15.75" customHeight="1">
      <c r="A626" s="2" t="s">
        <v>199</v>
      </c>
      <c r="B626" s="3">
        <v>79.0</v>
      </c>
      <c r="C626" s="3">
        <v>20.0</v>
      </c>
      <c r="D626" s="3">
        <v>59.99</v>
      </c>
      <c r="E626" s="3">
        <v>58.56</v>
      </c>
      <c r="F626" s="3">
        <v>48.2</v>
      </c>
      <c r="G626" s="3">
        <v>12.1</v>
      </c>
      <c r="H626" s="3">
        <v>26.72</v>
      </c>
      <c r="I626" s="3">
        <v>39.0</v>
      </c>
      <c r="J626" s="3">
        <v>20.13</v>
      </c>
      <c r="K626" s="3">
        <v>29.5</v>
      </c>
      <c r="L626" s="3">
        <v>46.64</v>
      </c>
      <c r="M626" s="3">
        <v>25.45</v>
      </c>
      <c r="N626" s="3">
        <v>37.9</v>
      </c>
      <c r="O626" s="3">
        <v>40.0</v>
      </c>
      <c r="P626" s="3">
        <v>190.0</v>
      </c>
    </row>
    <row r="627" ht="15.75" customHeight="1">
      <c r="A627" s="2" t="s">
        <v>183</v>
      </c>
      <c r="B627" s="3">
        <v>269.27</v>
      </c>
    </row>
    <row r="628" ht="15.75" customHeight="1">
      <c r="A628" s="2" t="s">
        <v>70</v>
      </c>
      <c r="B628" s="3">
        <v>100.0</v>
      </c>
    </row>
    <row r="629" ht="15.75" customHeight="1">
      <c r="A629" s="2" t="s">
        <v>197</v>
      </c>
      <c r="B629" s="3">
        <v>196.0</v>
      </c>
    </row>
    <row r="630" ht="15.75" customHeight="1">
      <c r="A630" s="2" t="s">
        <v>57</v>
      </c>
      <c r="B630" s="3">
        <v>30.0</v>
      </c>
    </row>
    <row r="631" ht="15.75" customHeight="1"/>
    <row r="632" ht="15.75" customHeight="1"/>
    <row r="633" ht="15.75" customHeight="1"/>
    <row r="634" ht="15.75" customHeight="1"/>
    <row r="635" ht="15.75" customHeight="1">
      <c r="A635" s="2" t="s">
        <v>31</v>
      </c>
    </row>
    <row r="636" ht="15.75" customHeight="1">
      <c r="A636" s="2" t="s">
        <v>0</v>
      </c>
      <c r="B636" s="7">
        <v>79.0</v>
      </c>
      <c r="C636" s="7">
        <v>59.99</v>
      </c>
      <c r="D636" s="7">
        <v>58.56</v>
      </c>
      <c r="E636" s="7">
        <v>12.1</v>
      </c>
      <c r="F636" s="7">
        <v>39.0</v>
      </c>
      <c r="G636" s="7">
        <v>20.13</v>
      </c>
      <c r="H636" s="7">
        <v>46.64</v>
      </c>
      <c r="I636" s="7">
        <v>20.0</v>
      </c>
      <c r="J636" s="7">
        <v>8.0</v>
      </c>
      <c r="K636" s="7">
        <v>59.8</v>
      </c>
      <c r="L636" s="7">
        <v>44.9</v>
      </c>
      <c r="M636" s="7">
        <v>200.0</v>
      </c>
      <c r="N636" s="7">
        <v>7.0</v>
      </c>
      <c r="O636" s="7">
        <v>19.59</v>
      </c>
      <c r="P636" s="7">
        <v>13.51</v>
      </c>
      <c r="Q636" s="7">
        <v>19.95</v>
      </c>
      <c r="R636" s="7">
        <v>12.5</v>
      </c>
      <c r="S636" s="7">
        <v>27.5</v>
      </c>
    </row>
    <row r="637" ht="15.75" customHeight="1">
      <c r="A637" s="2" t="s">
        <v>183</v>
      </c>
      <c r="B637" s="3">
        <v>268.2</v>
      </c>
    </row>
    <row r="638" ht="15.75" customHeight="1">
      <c r="A638" s="2" t="s">
        <v>70</v>
      </c>
      <c r="B638" s="3">
        <v>100.0</v>
      </c>
    </row>
    <row r="639" ht="15.75" customHeight="1">
      <c r="A639" s="2" t="s">
        <v>197</v>
      </c>
      <c r="B639" s="3">
        <v>196.0</v>
      </c>
    </row>
    <row r="640" ht="15.75" customHeight="1">
      <c r="A640" s="2" t="s">
        <v>57</v>
      </c>
      <c r="B640" s="3">
        <v>30.0</v>
      </c>
    </row>
    <row r="641" ht="15.75" customHeight="1"/>
    <row r="642" ht="15.75" customHeight="1"/>
    <row r="643" ht="15.75" customHeight="1"/>
    <row r="644" ht="15.75" customHeight="1">
      <c r="A644" s="2" t="s">
        <v>79</v>
      </c>
    </row>
    <row r="645" ht="15.75" customHeight="1">
      <c r="A645" s="2" t="s">
        <v>0</v>
      </c>
      <c r="B645" s="3">
        <v>12.1</v>
      </c>
      <c r="C645" s="3">
        <v>20.13</v>
      </c>
      <c r="D645" s="3">
        <v>59.99</v>
      </c>
      <c r="E645" s="3">
        <v>13.51</v>
      </c>
      <c r="F645" s="3">
        <v>35.8</v>
      </c>
      <c r="G645" s="3">
        <v>44.8</v>
      </c>
      <c r="H645" s="3">
        <v>38.0</v>
      </c>
      <c r="I645" s="3">
        <v>6.0</v>
      </c>
      <c r="J645" s="3">
        <v>109.21</v>
      </c>
      <c r="K645" s="3">
        <v>31.34</v>
      </c>
      <c r="L645" s="3">
        <v>190.0</v>
      </c>
      <c r="M645" s="3">
        <v>30.0</v>
      </c>
      <c r="N645" s="3">
        <v>14.2</v>
      </c>
      <c r="O645" s="3">
        <v>61.58</v>
      </c>
      <c r="P645" s="3">
        <v>25.71</v>
      </c>
      <c r="Q645" s="3">
        <v>26.23</v>
      </c>
      <c r="R645" s="3">
        <v>19.99</v>
      </c>
      <c r="S645" s="3">
        <v>12.49</v>
      </c>
    </row>
    <row r="646" ht="15.75" customHeight="1">
      <c r="A646" s="2" t="s">
        <v>183</v>
      </c>
      <c r="B646" s="3">
        <v>363.6</v>
      </c>
    </row>
    <row r="647" ht="15.75" customHeight="1">
      <c r="A647" s="2" t="s">
        <v>70</v>
      </c>
      <c r="B647" s="3">
        <v>100.0</v>
      </c>
    </row>
    <row r="648" ht="15.75" customHeight="1">
      <c r="A648" s="2" t="s">
        <v>197</v>
      </c>
      <c r="B648" s="3">
        <v>196.0</v>
      </c>
    </row>
    <row r="649" ht="15.75" customHeight="1">
      <c r="A649" s="2" t="s">
        <v>57</v>
      </c>
      <c r="B649" s="3">
        <v>30.0</v>
      </c>
    </row>
    <row r="650" ht="15.75" customHeight="1">
      <c r="A650" s="2" t="s">
        <v>196</v>
      </c>
      <c r="B650" s="3">
        <v>15.0</v>
      </c>
    </row>
    <row r="651" ht="15.75" customHeight="1"/>
    <row r="652" ht="15.75" customHeight="1"/>
    <row r="653" ht="15.75" customHeight="1">
      <c r="A653" s="2" t="s">
        <v>80</v>
      </c>
    </row>
    <row r="654" ht="15.75" customHeight="1">
      <c r="A654" s="2" t="s">
        <v>0</v>
      </c>
      <c r="B654" s="3">
        <v>20.13</v>
      </c>
      <c r="C654" s="3">
        <v>59.99</v>
      </c>
      <c r="D654" s="3">
        <v>13.51</v>
      </c>
      <c r="E654" s="3">
        <v>6.0</v>
      </c>
      <c r="F654" s="3">
        <v>109.21</v>
      </c>
      <c r="G654" s="3">
        <v>61.58</v>
      </c>
      <c r="H654" s="3">
        <v>26.23</v>
      </c>
      <c r="I654" s="3">
        <v>61.48</v>
      </c>
      <c r="J654" s="3">
        <v>43.74</v>
      </c>
      <c r="K654" s="3">
        <v>104.0</v>
      </c>
      <c r="L654" s="3">
        <v>190.0</v>
      </c>
      <c r="M654" s="3">
        <v>8.35</v>
      </c>
    </row>
    <row r="655" ht="15.75" customHeight="1">
      <c r="A655" s="2" t="s">
        <v>183</v>
      </c>
      <c r="B655" s="3">
        <v>268.2</v>
      </c>
    </row>
    <row r="656" ht="15.75" customHeight="1">
      <c r="A656" s="2" t="s">
        <v>70</v>
      </c>
      <c r="B656" s="3">
        <v>200.0</v>
      </c>
    </row>
    <row r="657" ht="15.75" customHeight="1">
      <c r="A657" s="2" t="s">
        <v>197</v>
      </c>
      <c r="B657" s="3">
        <v>196.0</v>
      </c>
    </row>
    <row r="658" ht="15.75" customHeight="1">
      <c r="A658" s="2" t="s">
        <v>200</v>
      </c>
      <c r="B658" s="3">
        <v>30.0</v>
      </c>
    </row>
    <row r="659" ht="15.75" customHeight="1">
      <c r="A659" s="2" t="s">
        <v>201</v>
      </c>
      <c r="B659" s="3">
        <v>14.7</v>
      </c>
    </row>
    <row r="660" ht="15.75" customHeight="1">
      <c r="A660" s="2" t="s">
        <v>202</v>
      </c>
      <c r="B660" s="3">
        <v>21.3</v>
      </c>
    </row>
    <row r="661" ht="15.75" customHeight="1"/>
    <row r="662" ht="15.75" customHeight="1">
      <c r="A662" s="2" t="s">
        <v>81</v>
      </c>
    </row>
    <row r="663" ht="15.75" customHeight="1">
      <c r="A663" s="2" t="s">
        <v>0</v>
      </c>
      <c r="B663" s="3">
        <v>47.7</v>
      </c>
      <c r="C663" s="3">
        <v>20.13</v>
      </c>
      <c r="D663" s="3">
        <v>59.99</v>
      </c>
      <c r="E663" s="3">
        <v>13.51</v>
      </c>
      <c r="F663" s="3">
        <v>6.0</v>
      </c>
      <c r="G663" s="3">
        <v>109.21</v>
      </c>
      <c r="H663" s="3">
        <v>61.58</v>
      </c>
      <c r="I663" s="3">
        <v>26.23</v>
      </c>
      <c r="J663" s="3">
        <v>160.0</v>
      </c>
      <c r="K663" s="3">
        <v>8.35</v>
      </c>
      <c r="L663" s="3">
        <v>24.97</v>
      </c>
      <c r="M663" s="3">
        <v>33.94</v>
      </c>
      <c r="N663" s="3">
        <v>13.9</v>
      </c>
      <c r="O663" s="3">
        <v>39.87</v>
      </c>
      <c r="P663" s="3">
        <v>10.76</v>
      </c>
      <c r="Q663" s="3">
        <v>60.83</v>
      </c>
      <c r="R663" s="3">
        <v>24.28</v>
      </c>
      <c r="S663" s="3">
        <v>35.01</v>
      </c>
      <c r="T663" s="3">
        <v>247.81</v>
      </c>
      <c r="U663" s="3">
        <v>95.0</v>
      </c>
    </row>
    <row r="664" ht="15.75" customHeight="1">
      <c r="A664" s="2" t="s">
        <v>183</v>
      </c>
      <c r="B664" s="3">
        <v>268.2</v>
      </c>
    </row>
    <row r="665" ht="15.75" customHeight="1">
      <c r="A665" s="2" t="s">
        <v>70</v>
      </c>
      <c r="B665" s="3">
        <v>150.0</v>
      </c>
    </row>
    <row r="666" ht="15.75" customHeight="1">
      <c r="A666" s="2" t="s">
        <v>197</v>
      </c>
      <c r="B666" s="3">
        <v>196.0</v>
      </c>
    </row>
    <row r="667" ht="15.75" customHeight="1"/>
    <row r="668" ht="15.75" customHeight="1"/>
    <row r="669" ht="15.75" customHeight="1"/>
    <row r="670" ht="15.75" customHeight="1"/>
    <row r="671" ht="15.75" customHeight="1">
      <c r="A671" s="2" t="s">
        <v>35</v>
      </c>
    </row>
    <row r="672" ht="15.75" customHeight="1">
      <c r="A672" s="2" t="s">
        <v>0</v>
      </c>
      <c r="B672" s="3">
        <v>20.13</v>
      </c>
      <c r="C672" s="3">
        <v>59.99</v>
      </c>
      <c r="D672" s="3">
        <v>13.51</v>
      </c>
      <c r="E672" s="3">
        <v>6.0</v>
      </c>
      <c r="F672" s="3">
        <v>109.21</v>
      </c>
      <c r="G672" s="3">
        <v>8.35</v>
      </c>
      <c r="H672" s="3">
        <v>33.94</v>
      </c>
      <c r="I672" s="3">
        <v>24.28</v>
      </c>
      <c r="J672" s="3">
        <v>35.01</v>
      </c>
      <c r="K672" s="3">
        <v>6.0</v>
      </c>
      <c r="L672" s="3">
        <v>33.5</v>
      </c>
      <c r="M672" s="3">
        <v>24.0</v>
      </c>
      <c r="N672" s="3">
        <v>34.87</v>
      </c>
      <c r="O672" s="3">
        <v>30.0</v>
      </c>
      <c r="P672" s="3">
        <v>12.99</v>
      </c>
      <c r="Q672" s="3">
        <v>29.95</v>
      </c>
      <c r="R672" s="3">
        <v>9.6</v>
      </c>
      <c r="S672" s="3">
        <v>46.64</v>
      </c>
      <c r="T672" s="3">
        <v>35.0</v>
      </c>
      <c r="U672" s="3">
        <v>99.7</v>
      </c>
      <c r="V672" s="3">
        <v>180.0</v>
      </c>
      <c r="W672" s="3">
        <v>16.8</v>
      </c>
      <c r="X672" s="3">
        <v>44.9</v>
      </c>
      <c r="Y672" s="3">
        <v>50.5</v>
      </c>
      <c r="Z672" s="3">
        <v>79.8</v>
      </c>
      <c r="AA672" s="3">
        <v>13.0</v>
      </c>
      <c r="AB672" s="3">
        <v>60.0</v>
      </c>
      <c r="AC672" s="3">
        <v>20.0</v>
      </c>
      <c r="AD672" s="3">
        <v>22.97</v>
      </c>
    </row>
    <row r="673" ht="15.75" customHeight="1">
      <c r="A673" s="2" t="s">
        <v>183</v>
      </c>
      <c r="B673" s="3">
        <v>268.2</v>
      </c>
    </row>
    <row r="674" ht="15.75" customHeight="1">
      <c r="A674" s="2" t="s">
        <v>70</v>
      </c>
      <c r="B674" s="3">
        <v>200.0</v>
      </c>
    </row>
    <row r="675" ht="15.75" customHeight="1">
      <c r="A675" s="2" t="s">
        <v>197</v>
      </c>
      <c r="B675" s="3">
        <v>199.0</v>
      </c>
    </row>
    <row r="676" ht="15.75" customHeight="1"/>
    <row r="677" ht="15.75" customHeight="1"/>
    <row r="678" ht="15.75" customHeight="1"/>
    <row r="679" ht="15.75" customHeight="1"/>
    <row r="680" ht="15.75" customHeight="1">
      <c r="A680" s="2" t="s">
        <v>36</v>
      </c>
    </row>
    <row r="681" ht="15.75" customHeight="1">
      <c r="A681" s="2" t="s">
        <v>0</v>
      </c>
      <c r="B681" s="3">
        <v>20.13</v>
      </c>
      <c r="C681" s="3">
        <v>59.99</v>
      </c>
      <c r="D681" s="3">
        <v>13.51</v>
      </c>
      <c r="E681" s="3">
        <v>6.0</v>
      </c>
      <c r="F681" s="3">
        <v>8.35</v>
      </c>
      <c r="G681" s="3">
        <v>33.94</v>
      </c>
      <c r="H681" s="3">
        <v>24.28</v>
      </c>
      <c r="I681" s="3">
        <v>35.01</v>
      </c>
      <c r="J681" s="3">
        <v>33.5</v>
      </c>
      <c r="K681" s="3">
        <v>29.95</v>
      </c>
      <c r="L681" s="3">
        <v>46.64</v>
      </c>
      <c r="M681" s="3">
        <v>16.8</v>
      </c>
      <c r="N681" s="3">
        <v>50.5</v>
      </c>
      <c r="O681" s="3">
        <v>13.0</v>
      </c>
      <c r="P681" s="3">
        <v>77.34</v>
      </c>
      <c r="Q681" s="3">
        <v>59.9</v>
      </c>
      <c r="R681" s="3">
        <v>16.0</v>
      </c>
      <c r="S681" s="3">
        <v>30.0</v>
      </c>
      <c r="T681" s="3">
        <v>41.24</v>
      </c>
    </row>
    <row r="682" ht="15.75" customHeight="1">
      <c r="A682" s="2" t="s">
        <v>183</v>
      </c>
      <c r="B682" s="3">
        <v>268.2</v>
      </c>
    </row>
    <row r="683" ht="15.75" customHeight="1">
      <c r="A683" s="2" t="s">
        <v>70</v>
      </c>
      <c r="B683" s="3">
        <v>200.0</v>
      </c>
    </row>
    <row r="684" ht="15.75" customHeight="1">
      <c r="A684" s="2" t="s">
        <v>197</v>
      </c>
      <c r="B684" s="3">
        <v>199.0</v>
      </c>
    </row>
    <row r="685" ht="15.75" customHeight="1"/>
    <row r="686" ht="15.75" customHeight="1"/>
    <row r="687" ht="15.75" customHeight="1"/>
    <row r="688" ht="15.75" customHeight="1"/>
    <row r="689" ht="15.75" customHeight="1">
      <c r="A689" s="2" t="s">
        <v>203</v>
      </c>
    </row>
    <row r="690" ht="15.75" customHeight="1">
      <c r="A690" s="2" t="s">
        <v>0</v>
      </c>
      <c r="B690" s="3">
        <v>20.13</v>
      </c>
      <c r="C690" s="3">
        <v>59.99</v>
      </c>
      <c r="D690" s="3">
        <v>13.51</v>
      </c>
      <c r="E690" s="3">
        <v>8.35</v>
      </c>
      <c r="F690" s="3">
        <v>24.28</v>
      </c>
      <c r="G690" s="3">
        <v>35.01</v>
      </c>
      <c r="H690" s="3">
        <v>46.64</v>
      </c>
      <c r="I690" s="3">
        <v>16.8</v>
      </c>
      <c r="J690" s="3">
        <v>50.5</v>
      </c>
      <c r="K690" s="3">
        <v>13.0</v>
      </c>
      <c r="L690" s="3">
        <v>77.34</v>
      </c>
      <c r="M690" s="3">
        <v>8.0</v>
      </c>
      <c r="N690" s="3">
        <v>40.02</v>
      </c>
      <c r="O690" s="3">
        <v>31.39</v>
      </c>
      <c r="P690" s="3">
        <v>36.16</v>
      </c>
    </row>
    <row r="691" ht="15.75" customHeight="1">
      <c r="A691" s="2" t="s">
        <v>183</v>
      </c>
      <c r="B691" s="3">
        <v>287.08</v>
      </c>
    </row>
    <row r="692" ht="15.75" customHeight="1">
      <c r="A692" s="2" t="s">
        <v>70</v>
      </c>
      <c r="B692" s="3">
        <v>200.0</v>
      </c>
    </row>
    <row r="693" ht="15.75" customHeight="1">
      <c r="A693" s="2" t="s">
        <v>197</v>
      </c>
      <c r="B693" s="3">
        <v>199.0</v>
      </c>
    </row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>
      <c r="A699" s="2" t="s">
        <v>84</v>
      </c>
    </row>
    <row r="700" ht="15.75" customHeight="1">
      <c r="A700" s="2" t="s">
        <v>0</v>
      </c>
      <c r="B700" s="3">
        <v>13.51</v>
      </c>
      <c r="C700" s="3">
        <v>24.28</v>
      </c>
      <c r="D700" s="3">
        <v>50.5</v>
      </c>
      <c r="E700" s="3">
        <v>13.0</v>
      </c>
      <c r="F700" s="3">
        <v>25.08</v>
      </c>
      <c r="G700" s="3">
        <v>26.6</v>
      </c>
      <c r="H700" s="3">
        <v>30.0</v>
      </c>
      <c r="I700" s="3">
        <v>88.8</v>
      </c>
      <c r="J700" s="3">
        <v>46.91</v>
      </c>
      <c r="K700" s="3">
        <v>59.99</v>
      </c>
      <c r="L700" s="3">
        <v>8.35</v>
      </c>
    </row>
    <row r="701" ht="15.75" customHeight="1">
      <c r="A701" s="2" t="s">
        <v>183</v>
      </c>
      <c r="B701" s="3">
        <v>299.51</v>
      </c>
    </row>
    <row r="702" ht="15.75" customHeight="1">
      <c r="A702" s="2" t="s">
        <v>70</v>
      </c>
      <c r="B702" s="3">
        <v>150.0</v>
      </c>
    </row>
    <row r="703" ht="15.75" customHeight="1">
      <c r="A703" s="2" t="s">
        <v>204</v>
      </c>
      <c r="B703" s="3">
        <v>199.0</v>
      </c>
    </row>
    <row r="704" ht="15.75" customHeight="1">
      <c r="A704" s="2" t="s">
        <v>181</v>
      </c>
      <c r="B704" s="3">
        <v>89.47</v>
      </c>
    </row>
    <row r="705" ht="15.75" customHeight="1"/>
    <row r="706" ht="15.75" customHeight="1"/>
    <row r="707" ht="15.75" customHeight="1"/>
    <row r="708" ht="15.75" customHeight="1"/>
    <row r="709" ht="15.75" customHeight="1">
      <c r="A709" s="2" t="s">
        <v>85</v>
      </c>
    </row>
    <row r="710" ht="15.75" customHeight="1">
      <c r="A710" s="2" t="s">
        <v>0</v>
      </c>
      <c r="B710" s="3">
        <v>50.5</v>
      </c>
      <c r="C710" s="3">
        <v>13.0</v>
      </c>
      <c r="D710" s="3">
        <v>26.6</v>
      </c>
      <c r="E710" s="3">
        <v>46.91</v>
      </c>
      <c r="F710" s="3">
        <v>59.99</v>
      </c>
      <c r="G710" s="3">
        <v>13.51</v>
      </c>
      <c r="H710" s="3">
        <v>30.0</v>
      </c>
      <c r="I710" s="3">
        <v>75.0</v>
      </c>
      <c r="J710" s="3">
        <v>14.63</v>
      </c>
      <c r="K710" s="3">
        <v>14.65</v>
      </c>
    </row>
    <row r="711" ht="15.75" customHeight="1">
      <c r="A711" s="2" t="s">
        <v>205</v>
      </c>
      <c r="B711" s="3">
        <v>268.0</v>
      </c>
      <c r="D711" s="2" t="s">
        <v>206</v>
      </c>
      <c r="E711" s="3">
        <v>400.0</v>
      </c>
    </row>
    <row r="712" ht="15.75" customHeight="1">
      <c r="A712" s="2" t="s">
        <v>70</v>
      </c>
      <c r="B712" s="3">
        <v>150.0</v>
      </c>
    </row>
    <row r="713" ht="15.75" customHeight="1">
      <c r="A713" s="2" t="s">
        <v>204</v>
      </c>
      <c r="B713" s="3">
        <v>199.0</v>
      </c>
    </row>
    <row r="714" ht="15.75" customHeight="1">
      <c r="A714" s="2" t="s">
        <v>181</v>
      </c>
      <c r="B714" s="27">
        <v>247.81</v>
      </c>
    </row>
    <row r="715" ht="15.75" customHeight="1">
      <c r="A715" s="2" t="s">
        <v>207</v>
      </c>
      <c r="B715" s="3">
        <v>200.0</v>
      </c>
    </row>
    <row r="716" ht="15.75" customHeight="1">
      <c r="A716" s="2" t="s">
        <v>190</v>
      </c>
      <c r="B716" s="3">
        <v>406.87</v>
      </c>
    </row>
    <row r="717" ht="15.75" customHeight="1">
      <c r="A717" s="2" t="s">
        <v>2</v>
      </c>
      <c r="B717" s="2">
        <f>SUM(B710:N716)</f>
        <v>2216.47</v>
      </c>
    </row>
    <row r="718" ht="15.75" customHeight="1"/>
    <row r="719" ht="15.75" customHeight="1">
      <c r="A719" s="2" t="s">
        <v>37</v>
      </c>
    </row>
    <row r="720" ht="15.75" customHeight="1">
      <c r="A720" s="2" t="s">
        <v>0</v>
      </c>
      <c r="B720" s="3">
        <v>26.6</v>
      </c>
      <c r="C720" s="3">
        <v>46.92</v>
      </c>
      <c r="D720" s="3">
        <v>59.99</v>
      </c>
      <c r="E720" s="3">
        <v>50.5</v>
      </c>
      <c r="F720" s="3">
        <v>13.51</v>
      </c>
      <c r="G720" s="3">
        <v>62.85</v>
      </c>
      <c r="H720" s="3">
        <v>23.5</v>
      </c>
      <c r="I720" s="3">
        <v>87.98</v>
      </c>
      <c r="J720" s="3">
        <v>60.0</v>
      </c>
      <c r="K720" s="3">
        <v>20.0</v>
      </c>
      <c r="L720" s="3">
        <v>30.0</v>
      </c>
      <c r="M720" s="2">
        <v>11.14</v>
      </c>
    </row>
    <row r="721" ht="15.75" customHeight="1">
      <c r="A721" s="2" t="s">
        <v>205</v>
      </c>
      <c r="B721" s="3">
        <v>253.18</v>
      </c>
    </row>
    <row r="722" ht="15.75" customHeight="1">
      <c r="A722" s="2" t="s">
        <v>70</v>
      </c>
      <c r="B722" s="3">
        <v>160.0</v>
      </c>
    </row>
    <row r="723" ht="15.75" customHeight="1">
      <c r="A723" s="2" t="s">
        <v>204</v>
      </c>
      <c r="B723" s="3">
        <v>199.0</v>
      </c>
    </row>
    <row r="724" ht="15.75" customHeight="1">
      <c r="A724" s="2" t="s">
        <v>181</v>
      </c>
      <c r="B724" s="27">
        <v>247.81</v>
      </c>
    </row>
    <row r="725" ht="15.75" customHeight="1"/>
    <row r="726" ht="15.75" customHeight="1">
      <c r="A726" s="2" t="s">
        <v>2</v>
      </c>
      <c r="B726" s="2">
        <f>SUM(B720:R725)</f>
        <v>1352.98</v>
      </c>
    </row>
    <row r="727" ht="15.75" customHeight="1"/>
    <row r="728" ht="15.75" customHeight="1">
      <c r="A728" s="2" t="s">
        <v>38</v>
      </c>
    </row>
    <row r="729" ht="15.75" customHeight="1">
      <c r="A729" s="2" t="s">
        <v>0</v>
      </c>
      <c r="B729" s="3">
        <v>59.99</v>
      </c>
      <c r="C729" s="3">
        <v>75.09</v>
      </c>
      <c r="D729" s="3">
        <v>78.0</v>
      </c>
      <c r="E729" s="3">
        <v>87.24</v>
      </c>
      <c r="F729" s="3">
        <v>27.9</v>
      </c>
      <c r="G729" s="3">
        <v>56.14</v>
      </c>
      <c r="H729" s="3">
        <v>35.0</v>
      </c>
      <c r="I729" s="3">
        <v>11.27</v>
      </c>
      <c r="J729" s="3">
        <v>45.0</v>
      </c>
      <c r="K729" s="3">
        <v>11.14</v>
      </c>
      <c r="L729" s="3">
        <v>103.97</v>
      </c>
    </row>
    <row r="730" ht="15.75" customHeight="1">
      <c r="A730" s="2" t="s">
        <v>205</v>
      </c>
      <c r="B730" s="3">
        <v>253.18</v>
      </c>
    </row>
    <row r="731" ht="15.75" customHeight="1">
      <c r="A731" s="2" t="s">
        <v>70</v>
      </c>
      <c r="B731" s="3">
        <v>130.0</v>
      </c>
    </row>
    <row r="732" ht="15.75" customHeight="1">
      <c r="A732" s="2" t="s">
        <v>181</v>
      </c>
      <c r="B732" s="27">
        <v>247.81</v>
      </c>
    </row>
    <row r="733" ht="15.75" customHeight="1">
      <c r="A733" s="2" t="s">
        <v>208</v>
      </c>
      <c r="B733" s="3">
        <v>390.0</v>
      </c>
    </row>
    <row r="734" ht="15.75" customHeight="1">
      <c r="A734" s="2" t="s">
        <v>209</v>
      </c>
      <c r="B734" s="3">
        <v>400.0</v>
      </c>
    </row>
    <row r="735" ht="15.75" customHeight="1">
      <c r="A735" s="2" t="s">
        <v>2</v>
      </c>
      <c r="B735" s="2">
        <f>SUM(B729:S734)</f>
        <v>2011.73</v>
      </c>
    </row>
    <row r="736" ht="15.75" customHeight="1"/>
    <row r="737" ht="15.75" customHeight="1">
      <c r="A737" s="2" t="s">
        <v>39</v>
      </c>
    </row>
    <row r="738" ht="15.75" customHeight="1">
      <c r="A738" s="2" t="s">
        <v>0</v>
      </c>
      <c r="B738" s="3">
        <v>59.99</v>
      </c>
      <c r="C738" s="3">
        <v>75.09</v>
      </c>
      <c r="D738" s="3">
        <v>11.6</v>
      </c>
      <c r="E738" s="3">
        <v>56.14</v>
      </c>
      <c r="F738" s="3">
        <v>45.0</v>
      </c>
      <c r="G738" s="3">
        <v>11.14</v>
      </c>
      <c r="H738" s="3">
        <v>103.97</v>
      </c>
      <c r="I738" s="3">
        <v>58.0</v>
      </c>
      <c r="J738" s="3">
        <v>72.0</v>
      </c>
      <c r="K738" s="3">
        <v>138.0</v>
      </c>
      <c r="L738" s="3">
        <v>19.98</v>
      </c>
      <c r="M738" s="3">
        <v>29.98</v>
      </c>
      <c r="N738" s="3">
        <v>19.9</v>
      </c>
      <c r="O738" s="3">
        <v>35.98</v>
      </c>
      <c r="P738" s="3">
        <v>14.9</v>
      </c>
      <c r="Q738" s="3">
        <v>1000.0</v>
      </c>
    </row>
    <row r="739" ht="15.75" customHeight="1">
      <c r="A739" s="2" t="s">
        <v>205</v>
      </c>
      <c r="B739" s="3">
        <v>253.18</v>
      </c>
    </row>
    <row r="740" ht="15.75" customHeight="1">
      <c r="A740" s="2" t="s">
        <v>70</v>
      </c>
      <c r="B740" s="3">
        <v>100.0</v>
      </c>
    </row>
    <row r="741" ht="15.75" customHeight="1">
      <c r="A741" s="2" t="s">
        <v>181</v>
      </c>
      <c r="B741" s="27">
        <v>247.81</v>
      </c>
    </row>
    <row r="742" ht="15.75" customHeight="1">
      <c r="A742" s="2" t="s">
        <v>207</v>
      </c>
      <c r="B742" s="3">
        <v>90.0</v>
      </c>
    </row>
    <row r="743" ht="15.75" customHeight="1"/>
    <row r="744" ht="15.75" customHeight="1">
      <c r="A744" s="2" t="s">
        <v>2</v>
      </c>
      <c r="B744" s="2">
        <f>SUM(B738:S743)</f>
        <v>2442.66</v>
      </c>
    </row>
    <row r="745" ht="15.75" customHeight="1"/>
    <row r="746" ht="15.75" customHeight="1">
      <c r="A746" s="2" t="s">
        <v>40</v>
      </c>
      <c r="Z746" s="2" t="s">
        <v>210</v>
      </c>
      <c r="AA746" s="2">
        <v>31.31</v>
      </c>
      <c r="AB746" s="2">
        <v>11.67</v>
      </c>
    </row>
    <row r="747" ht="15.75" customHeight="1">
      <c r="A747" s="2" t="s">
        <v>0</v>
      </c>
      <c r="B747" s="3">
        <v>59.99</v>
      </c>
      <c r="C747" s="3">
        <v>75.09</v>
      </c>
      <c r="D747" s="3">
        <v>11.6</v>
      </c>
      <c r="E747" s="3">
        <v>56.14</v>
      </c>
      <c r="F747" s="3">
        <v>11.14</v>
      </c>
      <c r="G747" s="3">
        <v>37.5</v>
      </c>
      <c r="H747" s="3">
        <v>35.98</v>
      </c>
      <c r="I747" s="3">
        <v>30.0</v>
      </c>
      <c r="J747" s="3">
        <v>35.0</v>
      </c>
      <c r="K747" s="3">
        <v>42.28</v>
      </c>
      <c r="L747" s="3">
        <v>49.91</v>
      </c>
      <c r="M747" s="3">
        <v>8.5</v>
      </c>
      <c r="N747" s="3">
        <v>130.09</v>
      </c>
      <c r="O747" s="3">
        <v>69.99</v>
      </c>
      <c r="P747" s="3">
        <v>49.99</v>
      </c>
      <c r="Q747" s="3">
        <v>28.1</v>
      </c>
      <c r="R747" s="3">
        <v>67.0</v>
      </c>
      <c r="S747" s="3">
        <v>30.0</v>
      </c>
      <c r="T747" s="3">
        <v>100.0</v>
      </c>
      <c r="U747" s="3">
        <v>30.6</v>
      </c>
      <c r="V747" s="3">
        <v>24.02</v>
      </c>
      <c r="W747" s="3">
        <v>16.31</v>
      </c>
      <c r="X747" s="3">
        <v>175.0</v>
      </c>
      <c r="Y747" s="3">
        <v>120.0</v>
      </c>
      <c r="Z747" s="3">
        <v>88.69</v>
      </c>
      <c r="AA747" s="3">
        <v>31.31</v>
      </c>
      <c r="AB747" s="3">
        <v>11.67</v>
      </c>
      <c r="AC747" s="3"/>
      <c r="AD747" s="3"/>
    </row>
    <row r="748" ht="15.75" customHeight="1">
      <c r="A748" s="2" t="s">
        <v>205</v>
      </c>
      <c r="B748" s="3">
        <v>253.18</v>
      </c>
    </row>
    <row r="749" ht="15.75" customHeight="1">
      <c r="A749" s="2" t="s">
        <v>70</v>
      </c>
      <c r="B749" s="3">
        <v>100.0</v>
      </c>
    </row>
    <row r="750" ht="15.75" customHeight="1">
      <c r="A750" s="2" t="s">
        <v>181</v>
      </c>
      <c r="B750" s="27">
        <v>247.81</v>
      </c>
    </row>
    <row r="751" ht="15.75" customHeight="1">
      <c r="A751" s="2" t="s">
        <v>51</v>
      </c>
      <c r="B751" s="3">
        <v>1000.0</v>
      </c>
    </row>
    <row r="752" ht="15.75" customHeight="1">
      <c r="A752" s="2" t="s">
        <v>117</v>
      </c>
      <c r="B752" s="3">
        <v>1000.0</v>
      </c>
    </row>
    <row r="753" ht="15.75" customHeight="1">
      <c r="A753" s="2" t="s">
        <v>207</v>
      </c>
      <c r="B753" s="3">
        <v>180.0</v>
      </c>
    </row>
    <row r="754" ht="15.75" customHeight="1">
      <c r="A754" s="2" t="s">
        <v>1</v>
      </c>
      <c r="B754" s="2">
        <f>SUM(B747:AE753)</f>
        <v>4206.89</v>
      </c>
    </row>
    <row r="755" ht="15.75" customHeight="1">
      <c r="A755" s="2" t="s">
        <v>32</v>
      </c>
    </row>
    <row r="756" ht="15.75" customHeight="1">
      <c r="A756" s="2" t="s">
        <v>0</v>
      </c>
      <c r="B756" s="3">
        <v>59.99</v>
      </c>
      <c r="C756" s="3">
        <v>11.6</v>
      </c>
      <c r="D756" s="3">
        <v>56.14</v>
      </c>
      <c r="E756" s="3">
        <v>11.14</v>
      </c>
      <c r="F756" s="3">
        <v>35.98</v>
      </c>
      <c r="G756" s="3">
        <v>35.98</v>
      </c>
      <c r="H756" s="3">
        <v>37.5</v>
      </c>
      <c r="I756" s="3">
        <v>43.28</v>
      </c>
      <c r="J756" s="3">
        <v>49.91</v>
      </c>
      <c r="K756" s="3">
        <v>24.02</v>
      </c>
      <c r="L756" s="3">
        <v>175.0</v>
      </c>
      <c r="M756" s="3">
        <v>62.62</v>
      </c>
      <c r="N756" s="3">
        <v>23.34</v>
      </c>
      <c r="O756" s="3">
        <v>54.0</v>
      </c>
      <c r="P756" s="3">
        <v>35.0</v>
      </c>
    </row>
    <row r="757" ht="15.75" customHeight="1">
      <c r="A757" s="2" t="s">
        <v>205</v>
      </c>
      <c r="B757" s="3">
        <v>253.18</v>
      </c>
    </row>
    <row r="758" ht="15.75" customHeight="1">
      <c r="A758" s="2" t="s">
        <v>70</v>
      </c>
      <c r="B758" s="3">
        <v>100.0</v>
      </c>
    </row>
    <row r="759" ht="15.75" customHeight="1">
      <c r="A759" s="2" t="s">
        <v>181</v>
      </c>
      <c r="B759" s="27">
        <v>247.81</v>
      </c>
    </row>
    <row r="760" ht="15.75" customHeight="1">
      <c r="A760" s="2" t="s">
        <v>51</v>
      </c>
      <c r="B760" s="3">
        <v>500.0</v>
      </c>
      <c r="C760" s="2" t="s">
        <v>117</v>
      </c>
      <c r="D760" s="3">
        <v>500.0</v>
      </c>
    </row>
    <row r="761" ht="15.75" customHeight="1">
      <c r="A761" s="2" t="s">
        <v>207</v>
      </c>
      <c r="B761" s="3">
        <v>180.0</v>
      </c>
    </row>
    <row r="762" ht="15.75" customHeight="1">
      <c r="A762" s="2" t="s">
        <v>211</v>
      </c>
      <c r="B762" s="3">
        <v>67.2</v>
      </c>
      <c r="C762" s="3">
        <v>85.1</v>
      </c>
    </row>
    <row r="763" ht="15.75" customHeight="1">
      <c r="A763" s="2" t="s">
        <v>2</v>
      </c>
      <c r="B763" s="2">
        <f>SUM(B756:AN762)</f>
        <v>2648.79</v>
      </c>
    </row>
    <row r="764" ht="15.75" customHeight="1">
      <c r="A764" s="2" t="s">
        <v>33</v>
      </c>
    </row>
    <row r="765" ht="15.75" customHeight="1">
      <c r="A765" s="2" t="s">
        <v>0</v>
      </c>
      <c r="B765" s="3">
        <v>91.35</v>
      </c>
      <c r="C765" s="3">
        <v>11.6</v>
      </c>
      <c r="D765" s="3">
        <v>11.14</v>
      </c>
      <c r="E765" s="3">
        <v>35.98</v>
      </c>
      <c r="F765" s="3">
        <v>35.98</v>
      </c>
      <c r="G765" s="3">
        <v>43.28</v>
      </c>
      <c r="H765" s="3">
        <v>49.91</v>
      </c>
      <c r="I765" s="3">
        <v>24.02</v>
      </c>
      <c r="J765" s="3">
        <v>23.34</v>
      </c>
      <c r="K765" s="3">
        <v>23.95</v>
      </c>
      <c r="L765" s="3">
        <v>19.0</v>
      </c>
      <c r="M765" s="3">
        <v>50.0</v>
      </c>
      <c r="N765" s="3">
        <v>90.0</v>
      </c>
      <c r="O765" s="3">
        <v>18.01</v>
      </c>
      <c r="P765" s="3">
        <v>35.0</v>
      </c>
      <c r="Q765" s="3">
        <v>8.9</v>
      </c>
      <c r="R765" s="3">
        <v>45.0</v>
      </c>
    </row>
    <row r="766" ht="15.75" customHeight="1">
      <c r="A766" s="2" t="s">
        <v>205</v>
      </c>
      <c r="B766" s="3">
        <v>253.18</v>
      </c>
    </row>
    <row r="767" ht="15.75" customHeight="1">
      <c r="A767" s="2" t="s">
        <v>70</v>
      </c>
      <c r="B767" s="3">
        <v>100.0</v>
      </c>
    </row>
    <row r="768" ht="15.75" customHeight="1">
      <c r="A768" s="2" t="s">
        <v>181</v>
      </c>
      <c r="B768" s="27">
        <v>247.81</v>
      </c>
    </row>
    <row r="769" ht="15.75" customHeight="1">
      <c r="A769" s="2" t="s">
        <v>51</v>
      </c>
      <c r="B769" s="3">
        <v>400.0</v>
      </c>
    </row>
    <row r="770" ht="15.75" customHeight="1">
      <c r="A770" s="2" t="s">
        <v>117</v>
      </c>
      <c r="B770" s="3">
        <v>400.0</v>
      </c>
    </row>
    <row r="771" ht="15.75" customHeight="1">
      <c r="A771" s="2" t="s">
        <v>207</v>
      </c>
      <c r="B771" s="3">
        <v>180.0</v>
      </c>
      <c r="D771" s="2" t="s">
        <v>212</v>
      </c>
      <c r="E771" s="3">
        <v>54.99</v>
      </c>
    </row>
    <row r="772" ht="15.75" customHeight="1">
      <c r="A772" s="2" t="s">
        <v>2</v>
      </c>
      <c r="B772" s="2">
        <f>SUM(B765:S771)</f>
        <v>2252.44</v>
      </c>
    </row>
    <row r="773" ht="15.75" customHeight="1">
      <c r="A773" s="2" t="s">
        <v>34</v>
      </c>
    </row>
    <row r="774" ht="15.75" customHeight="1">
      <c r="A774" s="2" t="s">
        <v>0</v>
      </c>
      <c r="B774" s="3">
        <v>35.98</v>
      </c>
      <c r="C774" s="3">
        <v>24.02</v>
      </c>
      <c r="D774" s="3">
        <v>91.35</v>
      </c>
      <c r="E774" s="3">
        <v>50.12</v>
      </c>
      <c r="F774" s="3">
        <v>23.95</v>
      </c>
      <c r="G774" s="3">
        <v>19.0</v>
      </c>
      <c r="H774" s="3">
        <v>18.01</v>
      </c>
      <c r="I774" s="3">
        <v>10.0</v>
      </c>
      <c r="J774" s="3">
        <v>45.0</v>
      </c>
      <c r="K774" s="3">
        <v>149.0</v>
      </c>
      <c r="L774" s="3">
        <v>45.0</v>
      </c>
      <c r="M774" s="3">
        <v>153.0</v>
      </c>
      <c r="N774" s="3">
        <v>28.4</v>
      </c>
      <c r="O774" s="3">
        <v>45.0</v>
      </c>
      <c r="P774" s="3">
        <v>127.0</v>
      </c>
      <c r="Q774" s="3">
        <v>13.51</v>
      </c>
    </row>
    <row r="775" ht="15.75" customHeight="1">
      <c r="A775" s="2" t="s">
        <v>205</v>
      </c>
      <c r="B775" s="3">
        <v>350.13</v>
      </c>
    </row>
    <row r="776" ht="15.75" customHeight="1">
      <c r="A776" s="2" t="s">
        <v>70</v>
      </c>
      <c r="B776" s="3">
        <v>100.0</v>
      </c>
    </row>
    <row r="777" ht="15.75" customHeight="1">
      <c r="A777" s="2" t="s">
        <v>181</v>
      </c>
      <c r="B777" s="27">
        <v>247.81</v>
      </c>
    </row>
    <row r="778" ht="15.75" customHeight="1">
      <c r="A778" s="2" t="s">
        <v>51</v>
      </c>
      <c r="B778" s="3">
        <v>1000.0</v>
      </c>
    </row>
    <row r="779" ht="15.75" customHeight="1">
      <c r="A779" s="2" t="s">
        <v>117</v>
      </c>
      <c r="B779" s="3">
        <v>1000.0</v>
      </c>
    </row>
    <row r="780" ht="15.75" customHeight="1">
      <c r="A780" s="2" t="s">
        <v>207</v>
      </c>
      <c r="B780" s="3">
        <v>180.0</v>
      </c>
      <c r="D780" s="2" t="s">
        <v>212</v>
      </c>
      <c r="E780" s="3">
        <v>54.99</v>
      </c>
    </row>
    <row r="781" ht="15.75" customHeight="1">
      <c r="A781" s="2" t="s">
        <v>1</v>
      </c>
      <c r="B781" s="2">
        <f>SUM(B774:S780)</f>
        <v>3811.27</v>
      </c>
    </row>
    <row r="782" ht="15.75" customHeight="1">
      <c r="A782" s="2" t="s">
        <v>41</v>
      </c>
    </row>
    <row r="783" ht="15.75" customHeight="1">
      <c r="A783" s="46" t="s">
        <v>0</v>
      </c>
      <c r="B783" s="3">
        <v>91.35</v>
      </c>
      <c r="C783" s="3">
        <v>24.02</v>
      </c>
      <c r="D783" s="3">
        <v>50.12</v>
      </c>
      <c r="E783" s="3">
        <v>19.0</v>
      </c>
      <c r="F783" s="3">
        <v>18.01</v>
      </c>
      <c r="G783" s="3">
        <v>45.0</v>
      </c>
      <c r="H783" s="3">
        <v>33.28</v>
      </c>
      <c r="I783" s="3">
        <v>149.0</v>
      </c>
      <c r="J783" s="3">
        <v>69.99</v>
      </c>
      <c r="K783" s="3">
        <v>29.0</v>
      </c>
      <c r="L783" s="3">
        <v>17.15</v>
      </c>
      <c r="M783" s="3">
        <v>68.0</v>
      </c>
      <c r="N783" s="3">
        <v>157.11</v>
      </c>
      <c r="O783" s="3">
        <v>40.0</v>
      </c>
      <c r="P783" s="3">
        <v>9.0</v>
      </c>
      <c r="Q783" s="3">
        <v>9.0</v>
      </c>
      <c r="R783" s="3">
        <v>10.0</v>
      </c>
      <c r="S783" s="3">
        <v>41.5</v>
      </c>
      <c r="T783" s="3">
        <v>49.95</v>
      </c>
      <c r="U783" s="3">
        <v>21.98</v>
      </c>
      <c r="V783" s="3">
        <v>50.0</v>
      </c>
      <c r="W783" s="3">
        <v>14.0</v>
      </c>
      <c r="X783" s="3">
        <v>64.5</v>
      </c>
      <c r="Y783" s="3">
        <v>51.6</v>
      </c>
      <c r="Z783" s="3">
        <v>22.5</v>
      </c>
      <c r="AA783" s="3">
        <v>24.0</v>
      </c>
    </row>
    <row r="784" ht="15.75" customHeight="1">
      <c r="A784" s="2" t="s">
        <v>205</v>
      </c>
      <c r="B784" s="3">
        <v>250.13</v>
      </c>
    </row>
    <row r="785" ht="15.75" customHeight="1">
      <c r="A785" s="2" t="s">
        <v>181</v>
      </c>
      <c r="B785" s="3">
        <v>247.81</v>
      </c>
    </row>
    <row r="786" ht="15.75" customHeight="1">
      <c r="A786" s="2" t="s">
        <v>51</v>
      </c>
      <c r="B786" s="3">
        <v>400.0</v>
      </c>
    </row>
    <row r="787" ht="15.75" customHeight="1">
      <c r="A787" s="2" t="s">
        <v>117</v>
      </c>
      <c r="B787" s="3">
        <v>400.0</v>
      </c>
    </row>
    <row r="788" ht="15.75" customHeight="1">
      <c r="A788" s="2" t="s">
        <v>70</v>
      </c>
      <c r="B788" s="3">
        <v>100.0</v>
      </c>
      <c r="D788" s="2" t="s">
        <v>108</v>
      </c>
      <c r="E788" s="3">
        <v>30.0</v>
      </c>
    </row>
    <row r="789" ht="15.75" customHeight="1">
      <c r="A789" s="2" t="s">
        <v>207</v>
      </c>
      <c r="B789" s="3">
        <v>180.0</v>
      </c>
      <c r="D789" s="2" t="s">
        <v>212</v>
      </c>
      <c r="E789" s="3">
        <v>54.99</v>
      </c>
    </row>
    <row r="790" ht="15.75" customHeight="1">
      <c r="A790" s="2" t="s">
        <v>1</v>
      </c>
      <c r="B790" s="2">
        <f>SUM(B783:AK789)</f>
        <v>2841.99</v>
      </c>
    </row>
    <row r="791" ht="15.75" customHeight="1">
      <c r="A791" s="2" t="s">
        <v>42</v>
      </c>
    </row>
    <row r="792" ht="15.75" customHeight="1">
      <c r="A792" s="46" t="s">
        <v>0</v>
      </c>
      <c r="B792" s="3">
        <v>91.35</v>
      </c>
      <c r="C792" s="3">
        <v>50.12</v>
      </c>
      <c r="D792" s="3">
        <v>18.01</v>
      </c>
      <c r="E792" s="3">
        <v>45.0</v>
      </c>
      <c r="F792" s="3">
        <v>33.28</v>
      </c>
      <c r="G792" s="3">
        <v>41.5</v>
      </c>
      <c r="H792" s="3">
        <v>49.95</v>
      </c>
      <c r="I792" s="3">
        <v>14.0</v>
      </c>
      <c r="J792" s="3">
        <v>50.0</v>
      </c>
      <c r="K792" s="3">
        <v>159.49</v>
      </c>
      <c r="L792" s="3">
        <v>22.5</v>
      </c>
      <c r="M792" s="3">
        <v>71.75</v>
      </c>
      <c r="N792" s="3">
        <v>17.0</v>
      </c>
    </row>
    <row r="793" ht="15.75" customHeight="1">
      <c r="A793" s="2" t="s">
        <v>205</v>
      </c>
      <c r="B793" s="3">
        <v>250.33</v>
      </c>
    </row>
    <row r="794" ht="15.75" customHeight="1">
      <c r="A794" s="2" t="s">
        <v>181</v>
      </c>
      <c r="B794" s="3">
        <v>267.64</v>
      </c>
    </row>
    <row r="795" ht="15.75" customHeight="1">
      <c r="A795" s="2" t="s">
        <v>51</v>
      </c>
      <c r="B795" s="3">
        <v>800.0</v>
      </c>
      <c r="D795" s="2" t="s">
        <v>108</v>
      </c>
      <c r="E795" s="3">
        <v>30.0</v>
      </c>
    </row>
    <row r="796" ht="15.75" customHeight="1">
      <c r="A796" s="2" t="s">
        <v>117</v>
      </c>
      <c r="B796" s="3">
        <v>800.0</v>
      </c>
      <c r="D796" s="2" t="s">
        <v>121</v>
      </c>
      <c r="E796" s="3">
        <v>100.0</v>
      </c>
    </row>
    <row r="797" ht="15.75" customHeight="1">
      <c r="A797" s="2" t="s">
        <v>207</v>
      </c>
      <c r="B797" s="3">
        <v>180.0</v>
      </c>
      <c r="D797" s="2" t="s">
        <v>212</v>
      </c>
      <c r="E797" s="3">
        <v>54.99</v>
      </c>
    </row>
    <row r="798" ht="15.75" customHeight="1">
      <c r="A798" s="2" t="s">
        <v>70</v>
      </c>
      <c r="B798" s="3">
        <v>100.0</v>
      </c>
    </row>
    <row r="799" ht="15.75" customHeight="1">
      <c r="A799" s="2" t="s">
        <v>1</v>
      </c>
      <c r="B799" s="2">
        <f>SUM(B792:S798)</f>
        <v>3246.91</v>
      </c>
    </row>
    <row r="800" ht="15.75" customHeight="1">
      <c r="A800" s="2" t="s">
        <v>43</v>
      </c>
    </row>
    <row r="801" ht="15.75" customHeight="1">
      <c r="A801" s="46" t="s">
        <v>0</v>
      </c>
      <c r="B801" s="3">
        <v>91.35</v>
      </c>
      <c r="C801" s="3">
        <v>18.01</v>
      </c>
      <c r="D801" s="3">
        <v>45.0</v>
      </c>
      <c r="E801" s="3">
        <v>33.28</v>
      </c>
      <c r="F801" s="3">
        <v>41.5</v>
      </c>
      <c r="G801" s="3">
        <v>14.0</v>
      </c>
      <c r="H801" s="3">
        <v>35.0</v>
      </c>
      <c r="I801" s="3">
        <v>20.0</v>
      </c>
      <c r="J801" s="3">
        <v>163.97</v>
      </c>
      <c r="K801" s="3">
        <v>42.51</v>
      </c>
      <c r="L801" s="3">
        <v>24.0</v>
      </c>
      <c r="M801" s="3">
        <v>63.0</v>
      </c>
    </row>
    <row r="802" ht="15.75" customHeight="1">
      <c r="A802" s="2" t="s">
        <v>205</v>
      </c>
      <c r="B802" s="3">
        <v>260.65</v>
      </c>
    </row>
    <row r="803" ht="15.75" customHeight="1">
      <c r="A803" s="2" t="s">
        <v>181</v>
      </c>
      <c r="B803" s="3">
        <v>267.64</v>
      </c>
    </row>
    <row r="804" ht="15.75" customHeight="1">
      <c r="A804" s="2" t="s">
        <v>51</v>
      </c>
      <c r="B804" s="3">
        <v>500.0</v>
      </c>
    </row>
    <row r="805" ht="15.75" customHeight="1">
      <c r="A805" s="2" t="s">
        <v>117</v>
      </c>
      <c r="B805" s="3">
        <v>500.0</v>
      </c>
      <c r="D805" s="2" t="s">
        <v>108</v>
      </c>
      <c r="E805" s="3">
        <v>30.0</v>
      </c>
    </row>
    <row r="806" ht="15.75" customHeight="1">
      <c r="A806" s="2" t="s">
        <v>207</v>
      </c>
      <c r="B806" s="3">
        <v>180.0</v>
      </c>
      <c r="D806" s="2" t="s">
        <v>212</v>
      </c>
      <c r="E806" s="3">
        <v>54.99</v>
      </c>
    </row>
    <row r="807" ht="15.75" customHeight="1">
      <c r="A807" s="2" t="s">
        <v>70</v>
      </c>
      <c r="B807" s="3">
        <v>100.0</v>
      </c>
    </row>
    <row r="808" ht="15.75" customHeight="1">
      <c r="A808" s="2" t="s">
        <v>2</v>
      </c>
      <c r="B808" s="2">
        <f>SUM(B801:S807)</f>
        <v>2484.9</v>
      </c>
    </row>
    <row r="809" ht="15.75" customHeight="1"/>
    <row r="810" ht="15.75" customHeight="1">
      <c r="A810" s="2" t="s">
        <v>44</v>
      </c>
    </row>
    <row r="811" ht="15.75" customHeight="1">
      <c r="A811" s="46" t="s">
        <v>0</v>
      </c>
      <c r="B811" s="3">
        <v>45.0</v>
      </c>
      <c r="C811" s="3">
        <v>41.5</v>
      </c>
      <c r="D811" s="3">
        <v>240.0</v>
      </c>
      <c r="E811" s="3">
        <v>31.99</v>
      </c>
      <c r="F811" s="3">
        <v>14.0</v>
      </c>
      <c r="G811" s="3">
        <v>42.51</v>
      </c>
      <c r="H811" s="3">
        <v>63.0</v>
      </c>
      <c r="I811" s="3">
        <v>155.15</v>
      </c>
      <c r="J811" s="3">
        <v>34.97</v>
      </c>
      <c r="K811" s="3">
        <v>91.35</v>
      </c>
      <c r="L811" s="3"/>
    </row>
    <row r="812" ht="15.75" customHeight="1">
      <c r="A812" s="2" t="s">
        <v>205</v>
      </c>
      <c r="B812" s="3">
        <v>260.65</v>
      </c>
    </row>
    <row r="813" ht="15.75" customHeight="1">
      <c r="A813" s="2" t="s">
        <v>181</v>
      </c>
      <c r="B813" s="3">
        <v>267.64</v>
      </c>
    </row>
    <row r="814" ht="15.75" customHeight="1">
      <c r="A814" s="2" t="s">
        <v>51</v>
      </c>
      <c r="B814" s="3">
        <v>500.0</v>
      </c>
    </row>
    <row r="815" ht="15.75" customHeight="1">
      <c r="A815" s="2" t="s">
        <v>117</v>
      </c>
      <c r="B815" s="3">
        <v>680.0</v>
      </c>
      <c r="D815" s="2" t="s">
        <v>108</v>
      </c>
      <c r="E815" s="3">
        <v>30.0</v>
      </c>
    </row>
    <row r="816" ht="15.75" customHeight="1">
      <c r="A816" s="2" t="s">
        <v>70</v>
      </c>
      <c r="B816" s="3">
        <v>100.0</v>
      </c>
      <c r="D816" s="2" t="s">
        <v>212</v>
      </c>
      <c r="E816" s="3">
        <v>54.99</v>
      </c>
    </row>
    <row r="817" ht="15.75" customHeight="1">
      <c r="A817" s="2" t="s">
        <v>2</v>
      </c>
      <c r="B817" s="2">
        <f>SUM(B811:T816)</f>
        <v>2652.75</v>
      </c>
    </row>
    <row r="818" ht="15.75" customHeight="1"/>
    <row r="819" ht="15.75" customHeight="1">
      <c r="A819" s="2" t="s">
        <v>45</v>
      </c>
    </row>
    <row r="820" ht="15.75" customHeight="1">
      <c r="A820" s="46" t="s">
        <v>0</v>
      </c>
      <c r="B820" s="3">
        <v>45.0</v>
      </c>
      <c r="C820" s="3">
        <v>31.99</v>
      </c>
      <c r="D820" s="3">
        <v>42.51</v>
      </c>
      <c r="E820" s="3">
        <v>34.97</v>
      </c>
      <c r="F820" s="3">
        <v>14.0</v>
      </c>
      <c r="G820" s="3">
        <v>31.97</v>
      </c>
      <c r="H820" s="3">
        <v>130.0</v>
      </c>
      <c r="I820" s="3">
        <v>37.9</v>
      </c>
      <c r="J820" s="3">
        <v>17.5</v>
      </c>
      <c r="K820" s="3">
        <v>143.86</v>
      </c>
      <c r="L820" s="3">
        <v>69.7</v>
      </c>
      <c r="M820" s="3">
        <v>40.0</v>
      </c>
      <c r="N820" s="3">
        <v>54.35</v>
      </c>
      <c r="O820" s="3">
        <v>44.99</v>
      </c>
      <c r="P820" s="3">
        <v>158.0</v>
      </c>
    </row>
    <row r="821" ht="15.75" customHeight="1">
      <c r="A821" s="2" t="s">
        <v>205</v>
      </c>
      <c r="B821" s="3">
        <v>265.98</v>
      </c>
    </row>
    <row r="822" ht="15.75" customHeight="1">
      <c r="A822" s="2" t="s">
        <v>181</v>
      </c>
      <c r="B822" s="3">
        <v>267.64</v>
      </c>
    </row>
    <row r="823" ht="15.75" customHeight="1">
      <c r="A823" s="2" t="s">
        <v>70</v>
      </c>
      <c r="B823" s="3">
        <v>100.0</v>
      </c>
    </row>
    <row r="824" ht="15.75" customHeight="1">
      <c r="A824" s="2" t="s">
        <v>108</v>
      </c>
      <c r="B824" s="3">
        <v>30.0</v>
      </c>
    </row>
    <row r="825" ht="15.75" customHeight="1">
      <c r="A825" s="2" t="s">
        <v>212</v>
      </c>
      <c r="B825" s="3">
        <v>54.99</v>
      </c>
    </row>
    <row r="826" ht="15.75" customHeight="1">
      <c r="A826" s="2" t="s">
        <v>2</v>
      </c>
      <c r="B826" s="2">
        <f>SUM(B820:T825)</f>
        <v>1615.35</v>
      </c>
    </row>
    <row r="827" ht="15.75" customHeight="1"/>
    <row r="828" ht="15.75" customHeight="1">
      <c r="A828" s="2" t="s">
        <v>96</v>
      </c>
    </row>
    <row r="829" ht="15.75" customHeight="1">
      <c r="A829" s="46" t="s">
        <v>0</v>
      </c>
      <c r="B829" s="3">
        <v>45.0</v>
      </c>
      <c r="C829" s="3">
        <v>42.51</v>
      </c>
      <c r="D829" s="3">
        <v>34.97</v>
      </c>
      <c r="E829" s="3">
        <v>92.38</v>
      </c>
      <c r="F829" s="3">
        <v>54.35</v>
      </c>
      <c r="G829" s="3">
        <v>44.99</v>
      </c>
      <c r="H829" s="3">
        <v>299.9</v>
      </c>
      <c r="I829" s="3">
        <v>9.0</v>
      </c>
      <c r="J829" s="3">
        <v>33.76</v>
      </c>
      <c r="K829" s="3">
        <v>14.59</v>
      </c>
      <c r="L829" s="3">
        <v>230.0</v>
      </c>
      <c r="M829" s="3">
        <v>120.0</v>
      </c>
    </row>
    <row r="830" ht="15.75" customHeight="1">
      <c r="A830" s="2" t="s">
        <v>205</v>
      </c>
      <c r="B830" s="3">
        <v>284.24</v>
      </c>
    </row>
    <row r="831" ht="15.75" customHeight="1">
      <c r="A831" s="2" t="s">
        <v>181</v>
      </c>
      <c r="B831" s="3">
        <v>267.64</v>
      </c>
    </row>
    <row r="832" ht="15.75" customHeight="1">
      <c r="A832" s="2" t="s">
        <v>118</v>
      </c>
      <c r="B832" s="3">
        <v>128.3</v>
      </c>
    </row>
    <row r="833" ht="15.75" customHeight="1">
      <c r="A833" s="2" t="s">
        <v>70</v>
      </c>
      <c r="B833" s="3">
        <v>100.0</v>
      </c>
      <c r="D833" s="2" t="s">
        <v>108</v>
      </c>
      <c r="E833" s="3">
        <v>30.0</v>
      </c>
    </row>
    <row r="834" ht="15.75" customHeight="1">
      <c r="A834" s="2" t="s">
        <v>212</v>
      </c>
      <c r="B834" s="3">
        <v>54.99</v>
      </c>
    </row>
    <row r="835" ht="15.75" customHeight="1">
      <c r="A835" s="2" t="s">
        <v>2</v>
      </c>
      <c r="B835" s="2">
        <f>SUM(B829:T834)</f>
        <v>1886.62</v>
      </c>
    </row>
    <row r="836" ht="15.75" customHeight="1"/>
    <row r="837" ht="15.75" customHeight="1">
      <c r="A837" s="2" t="s">
        <v>97</v>
      </c>
    </row>
    <row r="838" ht="15.75" customHeight="1">
      <c r="A838" s="46" t="s">
        <v>0</v>
      </c>
      <c r="B838" s="3">
        <v>45.0</v>
      </c>
      <c r="C838" s="3">
        <v>48.4</v>
      </c>
      <c r="D838" s="3">
        <v>299.9</v>
      </c>
      <c r="E838" s="3">
        <v>33.76</v>
      </c>
      <c r="F838" s="3">
        <v>14.59</v>
      </c>
      <c r="G838" s="3">
        <v>92.38</v>
      </c>
      <c r="H838" s="3">
        <v>9.0</v>
      </c>
      <c r="I838" s="3">
        <v>33.37</v>
      </c>
      <c r="J838" s="3">
        <v>27.5</v>
      </c>
      <c r="K838" s="3">
        <v>73.8</v>
      </c>
      <c r="L838" s="3">
        <v>49.85</v>
      </c>
      <c r="M838" s="3">
        <v>37.45</v>
      </c>
      <c r="N838" s="3">
        <v>210.0</v>
      </c>
      <c r="O838" s="3">
        <v>159.0</v>
      </c>
      <c r="P838" s="3">
        <v>90.0</v>
      </c>
      <c r="Q838" s="3">
        <v>82.7</v>
      </c>
    </row>
    <row r="839" ht="15.75" customHeight="1">
      <c r="A839" s="2" t="s">
        <v>205</v>
      </c>
      <c r="B839" s="3">
        <v>236.67</v>
      </c>
    </row>
    <row r="840" ht="15.75" customHeight="1">
      <c r="A840" s="2" t="s">
        <v>181</v>
      </c>
      <c r="B840" s="3">
        <v>267.64</v>
      </c>
    </row>
    <row r="841" ht="15.75" customHeight="1">
      <c r="A841" s="2" t="s">
        <v>209</v>
      </c>
      <c r="B841" s="3">
        <v>30.0</v>
      </c>
    </row>
    <row r="842" ht="15.75" customHeight="1">
      <c r="A842" s="2" t="s">
        <v>70</v>
      </c>
      <c r="B842" s="3">
        <v>100.0</v>
      </c>
    </row>
    <row r="843" ht="15.75" customHeight="1">
      <c r="A843" s="2" t="s">
        <v>212</v>
      </c>
      <c r="B843" s="3">
        <v>54.99</v>
      </c>
    </row>
    <row r="844" ht="15.75" customHeight="1">
      <c r="A844" s="2" t="s">
        <v>2</v>
      </c>
      <c r="B844" s="2">
        <f>SUM(B838:T843)</f>
        <v>1996</v>
      </c>
    </row>
    <row r="845" ht="15.75" customHeight="1"/>
    <row r="846" ht="15.75" customHeight="1">
      <c r="A846" s="2" t="s">
        <v>98</v>
      </c>
    </row>
    <row r="847" ht="15.75" customHeight="1">
      <c r="A847" s="46" t="s">
        <v>0</v>
      </c>
      <c r="B847" s="3">
        <v>45.0</v>
      </c>
      <c r="C847" s="3">
        <v>299.9</v>
      </c>
      <c r="D847" s="3">
        <v>33.76</v>
      </c>
      <c r="E847" s="3">
        <v>14.59</v>
      </c>
      <c r="F847" s="3">
        <v>33.37</v>
      </c>
      <c r="G847" s="3">
        <v>27.5</v>
      </c>
      <c r="H847" s="3">
        <v>37.45</v>
      </c>
      <c r="I847" s="3">
        <v>18.0</v>
      </c>
      <c r="J847" s="3">
        <v>147.28</v>
      </c>
      <c r="K847" s="3">
        <v>190.0</v>
      </c>
      <c r="L847" s="3">
        <v>60.0</v>
      </c>
      <c r="M847" s="3">
        <v>180.0</v>
      </c>
      <c r="N847" s="3">
        <v>49.85</v>
      </c>
      <c r="O847" s="3">
        <v>40.0</v>
      </c>
      <c r="P847" s="3">
        <v>37.99</v>
      </c>
    </row>
    <row r="848" ht="15.75" customHeight="1">
      <c r="A848" s="2" t="s">
        <v>205</v>
      </c>
      <c r="B848" s="3">
        <v>260.46</v>
      </c>
    </row>
    <row r="849" ht="15.75" customHeight="1">
      <c r="A849" s="2" t="s">
        <v>181</v>
      </c>
      <c r="B849" s="3">
        <v>267.64</v>
      </c>
    </row>
    <row r="850" ht="15.75" customHeight="1">
      <c r="A850" s="2" t="s">
        <v>212</v>
      </c>
      <c r="B850" s="3">
        <v>54.99</v>
      </c>
    </row>
    <row r="851" ht="15.75" customHeight="1">
      <c r="A851" s="2" t="s">
        <v>70</v>
      </c>
      <c r="B851" s="3">
        <v>100.0</v>
      </c>
    </row>
    <row r="852" ht="15.75" customHeight="1">
      <c r="A852" s="2" t="s">
        <v>108</v>
      </c>
      <c r="B852" s="3">
        <v>390.0</v>
      </c>
    </row>
    <row r="853" ht="15.75" customHeight="1">
      <c r="A853" s="2" t="s">
        <v>2</v>
      </c>
      <c r="B853" s="2">
        <f>SUM(B847:S852)</f>
        <v>2287.78</v>
      </c>
    </row>
    <row r="854" ht="15.75" customHeight="1"/>
    <row r="855" ht="15.75" customHeight="1">
      <c r="A855" s="2" t="s">
        <v>99</v>
      </c>
    </row>
    <row r="856" ht="15.75" customHeight="1">
      <c r="A856" s="46" t="s">
        <v>0</v>
      </c>
      <c r="B856" s="3">
        <v>45.0</v>
      </c>
      <c r="C856" s="3">
        <v>299.9</v>
      </c>
      <c r="D856" s="3">
        <v>33.76</v>
      </c>
      <c r="E856" s="3">
        <v>14.59</v>
      </c>
      <c r="F856" s="3">
        <v>33.37</v>
      </c>
      <c r="G856" s="3">
        <v>27.5</v>
      </c>
      <c r="H856" s="3">
        <v>37.45</v>
      </c>
      <c r="I856" s="3">
        <v>18.0</v>
      </c>
      <c r="J856" s="3">
        <v>60.0</v>
      </c>
      <c r="K856" s="3">
        <v>94.5</v>
      </c>
      <c r="L856" s="3">
        <v>37.99</v>
      </c>
      <c r="M856" s="3">
        <v>46.5</v>
      </c>
      <c r="N856" s="3">
        <v>165.05</v>
      </c>
      <c r="O856" s="3">
        <v>58.18</v>
      </c>
      <c r="P856" s="3">
        <v>92.4</v>
      </c>
      <c r="Q856" s="3">
        <v>139.5</v>
      </c>
      <c r="R856" s="3">
        <v>300.0</v>
      </c>
      <c r="S856" s="3">
        <v>150.0</v>
      </c>
      <c r="T856" s="3">
        <v>29.99</v>
      </c>
      <c r="U856" s="3">
        <v>84.0</v>
      </c>
    </row>
    <row r="857" ht="15.75" customHeight="1">
      <c r="A857" s="2" t="s">
        <v>205</v>
      </c>
      <c r="B857" s="3">
        <v>262.39</v>
      </c>
    </row>
    <row r="858" ht="15.75" customHeight="1">
      <c r="A858" s="2" t="s">
        <v>181</v>
      </c>
      <c r="B858" s="3">
        <v>267.64</v>
      </c>
    </row>
    <row r="859" ht="15.75" customHeight="1">
      <c r="A859" s="2" t="s">
        <v>212</v>
      </c>
      <c r="B859" s="3">
        <v>54.99</v>
      </c>
    </row>
    <row r="860" ht="15.75" customHeight="1">
      <c r="A860" s="2" t="s">
        <v>108</v>
      </c>
      <c r="B860" s="3">
        <v>3079.67</v>
      </c>
    </row>
    <row r="861" ht="15.75" customHeight="1">
      <c r="A861" s="2" t="s">
        <v>70</v>
      </c>
      <c r="B861" s="3">
        <v>100.0</v>
      </c>
    </row>
    <row r="862" ht="15.75" customHeight="1">
      <c r="A862" s="2" t="s">
        <v>2</v>
      </c>
      <c r="B862" s="2">
        <f>SUM(B856:S861)</f>
        <v>5418.38</v>
      </c>
    </row>
    <row r="863" ht="15.75" customHeight="1"/>
    <row r="864" ht="15.75" customHeight="1">
      <c r="A864" s="2" t="s">
        <v>100</v>
      </c>
    </row>
    <row r="865" ht="15.75" customHeight="1">
      <c r="A865" s="46" t="s">
        <v>0</v>
      </c>
      <c r="B865" s="3">
        <v>299.9</v>
      </c>
      <c r="C865" s="3">
        <v>33.76</v>
      </c>
      <c r="D865" s="3">
        <v>14.59</v>
      </c>
      <c r="E865" s="3">
        <v>33.37</v>
      </c>
      <c r="F865" s="3">
        <v>27.5</v>
      </c>
      <c r="G865" s="3">
        <v>37.45</v>
      </c>
      <c r="H865" s="3">
        <v>18.0</v>
      </c>
      <c r="I865" s="3">
        <v>94.5</v>
      </c>
      <c r="J865" s="3">
        <v>37.99</v>
      </c>
      <c r="K865" s="3">
        <v>46.5</v>
      </c>
      <c r="L865" s="3">
        <v>92.4</v>
      </c>
      <c r="M865" s="3">
        <v>139.5</v>
      </c>
      <c r="N865" s="3">
        <v>35.0</v>
      </c>
      <c r="O865" s="3">
        <v>72.74</v>
      </c>
      <c r="P865" s="3">
        <v>250.0</v>
      </c>
      <c r="Q865" s="3">
        <v>76.99</v>
      </c>
      <c r="R865" s="3">
        <v>200.0</v>
      </c>
      <c r="S865" s="3">
        <v>54.9</v>
      </c>
      <c r="T865" s="3">
        <v>18.67</v>
      </c>
      <c r="U865" s="3">
        <v>21.45</v>
      </c>
      <c r="V865" s="3">
        <v>24.0</v>
      </c>
      <c r="W865" s="3">
        <v>7.29</v>
      </c>
      <c r="X865" s="3">
        <v>152.0</v>
      </c>
      <c r="Y865" s="3">
        <v>40.48</v>
      </c>
      <c r="Z865" s="3">
        <v>21.0</v>
      </c>
      <c r="AA865" s="3">
        <v>4.0</v>
      </c>
      <c r="AB865" s="3">
        <v>84.34</v>
      </c>
      <c r="AC865" s="3">
        <v>16.59</v>
      </c>
      <c r="AD865" s="3"/>
    </row>
    <row r="866" ht="15.75" customHeight="1">
      <c r="A866" s="2" t="s">
        <v>205</v>
      </c>
      <c r="B866" s="3">
        <v>267.18</v>
      </c>
    </row>
    <row r="867" ht="15.75" customHeight="1">
      <c r="A867" s="2" t="s">
        <v>181</v>
      </c>
      <c r="B867" s="3">
        <v>267.64</v>
      </c>
      <c r="C867" s="3"/>
      <c r="D867" s="3"/>
    </row>
    <row r="868" ht="15.75" customHeight="1">
      <c r="A868" s="2" t="s">
        <v>108</v>
      </c>
      <c r="B868" s="3">
        <v>1030.0</v>
      </c>
      <c r="C868" s="3"/>
      <c r="D868" s="3"/>
    </row>
    <row r="869" ht="15.75" customHeight="1">
      <c r="A869" s="2" t="s">
        <v>212</v>
      </c>
      <c r="B869" s="3">
        <v>59.99</v>
      </c>
      <c r="C869" s="3"/>
      <c r="D869" s="3"/>
    </row>
    <row r="870" ht="15.75" customHeight="1">
      <c r="A870" s="2" t="s">
        <v>70</v>
      </c>
      <c r="B870" s="3">
        <v>100.0</v>
      </c>
      <c r="C870" s="3"/>
      <c r="D870" s="3"/>
    </row>
    <row r="871" ht="15.75" customHeight="1">
      <c r="A871" s="2" t="s">
        <v>2</v>
      </c>
      <c r="B871" s="2">
        <f>SUM(B865:AM870)</f>
        <v>3679.72</v>
      </c>
      <c r="C871" s="3"/>
      <c r="D871" s="3"/>
    </row>
    <row r="872" ht="15.75" customHeight="1">
      <c r="C872" s="3"/>
      <c r="D872" s="3"/>
    </row>
    <row r="873" ht="15.75" customHeight="1">
      <c r="A873" s="2" t="s">
        <v>101</v>
      </c>
      <c r="C873" s="32"/>
      <c r="D873" s="32" t="s">
        <v>213</v>
      </c>
    </row>
    <row r="874" ht="15.75" customHeight="1">
      <c r="A874" s="46" t="s">
        <v>0</v>
      </c>
      <c r="B874" s="3">
        <v>299.9</v>
      </c>
      <c r="C874" s="3">
        <v>33.76</v>
      </c>
      <c r="D874" s="3">
        <v>14.59</v>
      </c>
      <c r="E874" s="3">
        <v>33.37</v>
      </c>
      <c r="F874" s="3">
        <v>37.45</v>
      </c>
      <c r="G874" s="3">
        <v>18.0</v>
      </c>
      <c r="H874" s="3">
        <v>37.99</v>
      </c>
      <c r="I874" s="3">
        <v>46.5</v>
      </c>
      <c r="J874" s="3">
        <v>92.4</v>
      </c>
      <c r="K874" s="3">
        <v>139.5</v>
      </c>
      <c r="L874" s="3">
        <v>76.99</v>
      </c>
      <c r="M874" s="3">
        <v>200.0</v>
      </c>
      <c r="O874" s="3">
        <v>21.45</v>
      </c>
      <c r="P874" s="3">
        <v>84.34</v>
      </c>
      <c r="Q874" s="3">
        <v>16.59</v>
      </c>
      <c r="R874" s="3">
        <v>284.88</v>
      </c>
      <c r="S874" s="3">
        <v>36.07</v>
      </c>
      <c r="T874" s="3">
        <v>350.0</v>
      </c>
      <c r="U874" s="3">
        <v>49.95</v>
      </c>
      <c r="V874" s="3">
        <v>18.34</v>
      </c>
      <c r="W874" s="3">
        <v>29.98</v>
      </c>
      <c r="X874" s="3">
        <v>47.49</v>
      </c>
      <c r="Y874" s="3">
        <v>19.8</v>
      </c>
      <c r="Z874" s="3">
        <v>152.09</v>
      </c>
      <c r="AA874" s="3">
        <v>134.4</v>
      </c>
      <c r="AB874" s="3">
        <v>150.0</v>
      </c>
      <c r="AC874" s="3">
        <v>17.83</v>
      </c>
    </row>
    <row r="875" ht="15.75" customHeight="1">
      <c r="A875" s="2" t="s">
        <v>205</v>
      </c>
      <c r="B875" s="3">
        <v>247.84</v>
      </c>
      <c r="C875" s="3"/>
      <c r="D875" s="3"/>
    </row>
    <row r="876" ht="15.75" customHeight="1">
      <c r="A876" s="2" t="s">
        <v>181</v>
      </c>
      <c r="B876" s="3">
        <v>267.64</v>
      </c>
      <c r="C876" s="3"/>
      <c r="D876" s="32" t="s">
        <v>214</v>
      </c>
      <c r="E876" s="3">
        <v>274.0</v>
      </c>
    </row>
    <row r="877" ht="15.75" customHeight="1">
      <c r="A877" s="2" t="s">
        <v>70</v>
      </c>
      <c r="B877" s="3">
        <v>100.0</v>
      </c>
      <c r="C877" s="3"/>
      <c r="D877" s="32" t="s">
        <v>215</v>
      </c>
      <c r="E877" s="3">
        <v>400.0</v>
      </c>
    </row>
    <row r="878" ht="15.75" customHeight="1">
      <c r="A878" s="2" t="s">
        <v>212</v>
      </c>
      <c r="B878" s="3">
        <v>59.99</v>
      </c>
      <c r="C878" s="3"/>
      <c r="D878" s="3"/>
    </row>
    <row r="879" ht="15.75" customHeight="1">
      <c r="A879" s="2" t="s">
        <v>108</v>
      </c>
      <c r="B879" s="3">
        <v>3030.0</v>
      </c>
      <c r="C879" s="3"/>
      <c r="D879" s="3"/>
    </row>
    <row r="880" ht="15.75" customHeight="1">
      <c r="A880" s="2" t="s">
        <v>2</v>
      </c>
      <c r="B880" s="2">
        <f>SUM(B874:AF879)</f>
        <v>6823.13</v>
      </c>
    </row>
    <row r="881" ht="15.75" customHeight="1"/>
    <row r="882" ht="15.75" customHeight="1">
      <c r="A882" s="2" t="s">
        <v>102</v>
      </c>
      <c r="AN882" s="2">
        <v>3362.61</v>
      </c>
    </row>
    <row r="883" ht="15.75" customHeight="1">
      <c r="A883" s="46" t="s">
        <v>0</v>
      </c>
      <c r="B883" s="3">
        <v>299.9</v>
      </c>
      <c r="C883" s="3">
        <v>33.37</v>
      </c>
      <c r="D883" s="3">
        <v>37.45</v>
      </c>
      <c r="E883" s="3">
        <v>18.0</v>
      </c>
      <c r="F883" s="3">
        <v>37.99</v>
      </c>
      <c r="G883" s="3">
        <v>92.4</v>
      </c>
      <c r="H883" s="3">
        <v>139.5</v>
      </c>
      <c r="I883" s="3">
        <v>200.0</v>
      </c>
      <c r="J883" s="3">
        <v>76.99</v>
      </c>
      <c r="K883" s="3">
        <v>21.45</v>
      </c>
      <c r="L883" s="3">
        <v>84.34</v>
      </c>
      <c r="M883" s="3">
        <v>16.59</v>
      </c>
      <c r="N883" s="3">
        <v>284.88</v>
      </c>
      <c r="O883" s="3">
        <v>36.07</v>
      </c>
      <c r="P883" s="3">
        <v>350.0</v>
      </c>
      <c r="Q883" s="3">
        <v>49.95</v>
      </c>
      <c r="R883" s="3">
        <v>18.34</v>
      </c>
      <c r="S883" s="3">
        <v>150.0</v>
      </c>
      <c r="T883" s="3">
        <v>29.98</v>
      </c>
      <c r="U883" s="3">
        <v>166.12</v>
      </c>
      <c r="W883" s="3">
        <v>101.88</v>
      </c>
      <c r="X883" s="3">
        <v>47.49</v>
      </c>
      <c r="Y883" s="3">
        <v>89.98</v>
      </c>
      <c r="Z883" s="3">
        <v>39.95</v>
      </c>
      <c r="AA883" s="3">
        <v>65.93</v>
      </c>
      <c r="AB883" s="3">
        <v>37.0</v>
      </c>
      <c r="AC883" s="3">
        <v>46.6</v>
      </c>
      <c r="AD883" s="3">
        <v>25.0</v>
      </c>
      <c r="AE883" s="3">
        <v>50.0</v>
      </c>
      <c r="AF883" s="3">
        <v>258.17</v>
      </c>
      <c r="AG883" s="3">
        <v>62.15</v>
      </c>
      <c r="AH883" s="3">
        <v>70.0</v>
      </c>
      <c r="AI883" s="3">
        <v>36.86</v>
      </c>
      <c r="AJ883" s="3">
        <v>14.33</v>
      </c>
      <c r="AK883" s="3">
        <v>174.1</v>
      </c>
      <c r="AL883" s="3">
        <v>44.95</v>
      </c>
      <c r="AM883" s="3">
        <v>54.9</v>
      </c>
    </row>
    <row r="884" ht="15.75" customHeight="1">
      <c r="A884" s="2" t="s">
        <v>205</v>
      </c>
      <c r="B884" s="3">
        <v>258.74</v>
      </c>
    </row>
    <row r="885" ht="15.75" customHeight="1">
      <c r="A885" s="2" t="s">
        <v>181</v>
      </c>
      <c r="B885" s="3">
        <v>267.64</v>
      </c>
      <c r="D885" s="2" t="s">
        <v>216</v>
      </c>
      <c r="E885" s="3">
        <v>2160.0</v>
      </c>
    </row>
    <row r="886" ht="15.75" customHeight="1">
      <c r="A886" s="2" t="s">
        <v>70</v>
      </c>
      <c r="B886" s="3">
        <v>100.0</v>
      </c>
      <c r="D886" s="2" t="s">
        <v>217</v>
      </c>
      <c r="E886" s="3">
        <v>5000.0</v>
      </c>
    </row>
    <row r="887" ht="15.75" customHeight="1">
      <c r="A887" s="2" t="s">
        <v>212</v>
      </c>
      <c r="B887" s="3">
        <v>59.99</v>
      </c>
    </row>
    <row r="888" ht="15.75" customHeight="1">
      <c r="A888" s="2" t="s">
        <v>108</v>
      </c>
      <c r="B888" s="3">
        <v>30.0</v>
      </c>
      <c r="C888" s="3">
        <v>259.48</v>
      </c>
    </row>
    <row r="889" ht="15.75" customHeight="1">
      <c r="A889" s="2" t="s">
        <v>2</v>
      </c>
      <c r="B889" s="2">
        <f>SUM(B883:AS888)</f>
        <v>11498.46</v>
      </c>
    </row>
    <row r="890" ht="15.75" customHeight="1"/>
    <row r="891" ht="15.75" customHeight="1">
      <c r="A891" s="2" t="s">
        <v>103</v>
      </c>
      <c r="AH891" s="2">
        <v>4155.47</v>
      </c>
    </row>
    <row r="892" ht="15.75" customHeight="1">
      <c r="A892" s="46" t="s">
        <v>0</v>
      </c>
      <c r="P892" s="3">
        <v>258.17</v>
      </c>
      <c r="Q892" s="3">
        <v>62.15</v>
      </c>
      <c r="R892" s="3">
        <v>29.9</v>
      </c>
      <c r="S892" s="3">
        <v>19.0</v>
      </c>
      <c r="T892" s="3">
        <v>39.95</v>
      </c>
      <c r="U892" s="3">
        <v>85.3</v>
      </c>
      <c r="V892" s="3">
        <v>48.0</v>
      </c>
      <c r="W892" s="3">
        <v>58.34</v>
      </c>
      <c r="X892" s="3">
        <v>54.9</v>
      </c>
      <c r="Y892" s="3">
        <v>69.49</v>
      </c>
      <c r="Z892" s="3">
        <v>54.9</v>
      </c>
      <c r="AA892" s="3">
        <v>23.59</v>
      </c>
      <c r="AB892" s="3">
        <v>12.0</v>
      </c>
      <c r="AC892" s="3">
        <v>14.33</v>
      </c>
      <c r="AD892" s="3">
        <v>1193.51</v>
      </c>
      <c r="AE892" s="3">
        <v>44.95</v>
      </c>
      <c r="AF892" s="3">
        <v>400.0</v>
      </c>
      <c r="AG892" s="3">
        <v>54.9</v>
      </c>
      <c r="AH892" s="3">
        <v>55.0</v>
      </c>
      <c r="AI892" s="3">
        <v>60.39</v>
      </c>
      <c r="AJ892" s="3">
        <v>55.15</v>
      </c>
      <c r="AK892" s="3">
        <v>40.0</v>
      </c>
      <c r="AL892" s="3">
        <v>83.85</v>
      </c>
    </row>
    <row r="893" ht="15.75" customHeight="1">
      <c r="A893" s="2" t="s">
        <v>181</v>
      </c>
      <c r="B893" s="3">
        <v>267.64</v>
      </c>
    </row>
    <row r="894" ht="15.75" customHeight="1">
      <c r="A894" s="2" t="s">
        <v>212</v>
      </c>
      <c r="B894" s="3">
        <v>59.99</v>
      </c>
    </row>
    <row r="895" ht="15.75" customHeight="1">
      <c r="A895" s="2" t="s">
        <v>108</v>
      </c>
      <c r="B895" s="3">
        <v>30.0</v>
      </c>
    </row>
    <row r="896" ht="15.75" customHeight="1">
      <c r="A896" s="2" t="s">
        <v>70</v>
      </c>
      <c r="B896" s="3">
        <v>100.0</v>
      </c>
    </row>
    <row r="897" ht="15.75" customHeight="1">
      <c r="A897" s="2" t="s">
        <v>205</v>
      </c>
    </row>
    <row r="898" ht="15.75" customHeight="1">
      <c r="A898" s="2" t="s">
        <v>2</v>
      </c>
      <c r="B898" s="2">
        <f>SUM(B892:AW897)</f>
        <v>3275.4</v>
      </c>
    </row>
    <row r="899" ht="15.75" customHeight="1"/>
    <row r="900" ht="15.75" customHeight="1">
      <c r="A900" s="2" t="s">
        <v>218</v>
      </c>
    </row>
    <row r="901" ht="15.75" customHeight="1">
      <c r="A901" s="46" t="s">
        <v>0</v>
      </c>
      <c r="B901" s="3">
        <v>299.9</v>
      </c>
      <c r="C901" s="3">
        <v>92.4</v>
      </c>
      <c r="D901" s="3">
        <v>200.0</v>
      </c>
      <c r="E901" s="3">
        <v>76.99</v>
      </c>
      <c r="F901" s="3">
        <v>21.45</v>
      </c>
      <c r="G901" s="3">
        <v>16.59</v>
      </c>
      <c r="H901" s="3">
        <v>284.88</v>
      </c>
      <c r="I901" s="3">
        <v>36.07</v>
      </c>
      <c r="J901" s="3">
        <v>49.95</v>
      </c>
      <c r="K901" s="3">
        <v>39.95</v>
      </c>
      <c r="L901" s="3">
        <v>65.93</v>
      </c>
      <c r="M901" s="3">
        <v>258.17</v>
      </c>
      <c r="N901" s="3">
        <v>48.0</v>
      </c>
      <c r="O901" s="3">
        <v>58.34</v>
      </c>
      <c r="P901" s="3">
        <v>12.0</v>
      </c>
      <c r="Q901" s="3">
        <v>14.33</v>
      </c>
      <c r="R901" s="3">
        <v>55.15</v>
      </c>
      <c r="S901" s="3">
        <v>83.85</v>
      </c>
      <c r="T901" s="3">
        <v>29.98</v>
      </c>
      <c r="V901" s="3">
        <v>89.98</v>
      </c>
      <c r="W901" s="3">
        <v>62.15</v>
      </c>
      <c r="X901" s="3">
        <v>54.9</v>
      </c>
      <c r="Y901" s="3">
        <v>60.0</v>
      </c>
      <c r="Z901" s="3">
        <v>44.95</v>
      </c>
      <c r="AA901" s="3">
        <v>46.6</v>
      </c>
      <c r="AB901" s="3">
        <v>54.9</v>
      </c>
      <c r="AC901" s="3">
        <v>95.1</v>
      </c>
      <c r="AD901" s="3">
        <v>20.3</v>
      </c>
      <c r="AE901" s="3">
        <v>700.0</v>
      </c>
      <c r="AF901" s="3">
        <v>50.0</v>
      </c>
      <c r="AG901" s="3">
        <v>400.0</v>
      </c>
      <c r="AH901" s="3">
        <v>67.45</v>
      </c>
      <c r="AI901" s="3">
        <v>85.0</v>
      </c>
      <c r="AJ901" s="3">
        <v>206.84</v>
      </c>
      <c r="AK901" s="3">
        <v>106.0</v>
      </c>
      <c r="AL901" s="3">
        <v>11.69</v>
      </c>
      <c r="AM901" s="3">
        <v>242.0</v>
      </c>
      <c r="AN901" s="3">
        <v>122.12</v>
      </c>
      <c r="AO901" s="3">
        <v>50.0</v>
      </c>
      <c r="AP901" s="3">
        <v>36.76</v>
      </c>
      <c r="AQ901" s="3">
        <v>18.0</v>
      </c>
      <c r="AR901" s="3">
        <v>23.97</v>
      </c>
      <c r="AS901" s="3">
        <v>34.8</v>
      </c>
      <c r="AT901" s="3">
        <v>42.6</v>
      </c>
      <c r="AU901" s="3">
        <v>77.99</v>
      </c>
      <c r="AV901" s="3">
        <v>56.0</v>
      </c>
      <c r="AW901" s="3">
        <v>26.0</v>
      </c>
      <c r="AX901" s="3">
        <v>76.5</v>
      </c>
    </row>
    <row r="902" ht="15.75" customHeight="1">
      <c r="A902" s="2" t="s">
        <v>181</v>
      </c>
      <c r="B902" s="3">
        <v>286.37</v>
      </c>
    </row>
    <row r="903" ht="15.75" customHeight="1">
      <c r="A903" s="2" t="s">
        <v>212</v>
      </c>
      <c r="B903" s="3">
        <v>59.99</v>
      </c>
    </row>
    <row r="904" ht="15.75" customHeight="1">
      <c r="A904" s="2" t="s">
        <v>108</v>
      </c>
      <c r="B904" s="3">
        <v>2030.0</v>
      </c>
    </row>
    <row r="905" ht="15.75" customHeight="1">
      <c r="A905" s="2" t="s">
        <v>70</v>
      </c>
      <c r="B905" s="3">
        <v>100.0</v>
      </c>
    </row>
    <row r="906" ht="15.75" customHeight="1">
      <c r="A906" s="2" t="s">
        <v>219</v>
      </c>
      <c r="B906" s="3">
        <v>210.0</v>
      </c>
    </row>
    <row r="907" ht="15.75" customHeight="1">
      <c r="A907" s="2" t="s">
        <v>2</v>
      </c>
      <c r="B907" s="47">
        <f>SUM(B901:CN906)</f>
        <v>7392.89</v>
      </c>
    </row>
    <row r="908" ht="15.75" customHeight="1"/>
    <row r="909" ht="15.75" customHeight="1">
      <c r="A909" s="2" t="s">
        <v>220</v>
      </c>
    </row>
    <row r="910" ht="15.75" customHeight="1">
      <c r="A910" s="46" t="s">
        <v>0</v>
      </c>
      <c r="B910" s="3">
        <v>299.9</v>
      </c>
      <c r="C910" s="3">
        <v>92.4</v>
      </c>
      <c r="D910" s="3">
        <v>200.0</v>
      </c>
      <c r="E910" s="3">
        <v>76.99</v>
      </c>
      <c r="F910" s="3">
        <v>21.45</v>
      </c>
      <c r="G910" s="3">
        <v>16.59</v>
      </c>
      <c r="H910" s="3">
        <v>36.07</v>
      </c>
      <c r="I910" s="3">
        <v>39.95</v>
      </c>
      <c r="J910" s="3">
        <v>65.93</v>
      </c>
      <c r="K910" s="3">
        <v>48.0</v>
      </c>
      <c r="L910" s="3">
        <v>58.34</v>
      </c>
      <c r="M910" s="3">
        <v>12.0</v>
      </c>
      <c r="N910" s="3">
        <v>14.33</v>
      </c>
      <c r="O910" s="3">
        <v>83.85</v>
      </c>
      <c r="P910" s="3">
        <v>284.88</v>
      </c>
      <c r="Q910" s="3">
        <v>49.95</v>
      </c>
      <c r="R910" s="3">
        <v>89.98</v>
      </c>
      <c r="S910" s="3">
        <v>258.17</v>
      </c>
      <c r="T910" s="3">
        <v>46.6</v>
      </c>
      <c r="U910" s="3">
        <v>67.45</v>
      </c>
      <c r="V910" s="3">
        <v>85.0</v>
      </c>
      <c r="W910" s="3">
        <v>174.83</v>
      </c>
      <c r="X910" s="3">
        <v>47.85</v>
      </c>
      <c r="Y910" s="3">
        <v>254.02</v>
      </c>
      <c r="Z910" s="3">
        <v>90.0</v>
      </c>
      <c r="AA910" s="3">
        <v>29.12</v>
      </c>
      <c r="AB910" s="3">
        <v>119.94</v>
      </c>
      <c r="AC910" s="3">
        <v>52.0</v>
      </c>
      <c r="AD910" s="3">
        <v>50.0</v>
      </c>
      <c r="AE910" s="3">
        <v>22.66</v>
      </c>
      <c r="AF910" s="3">
        <v>8.8</v>
      </c>
      <c r="AG910" s="3">
        <v>25.0</v>
      </c>
      <c r="AH910" s="3">
        <v>300.0</v>
      </c>
      <c r="AI910" s="3">
        <v>29.85</v>
      </c>
      <c r="AJ910" s="3">
        <v>35.85</v>
      </c>
      <c r="AK910" s="3">
        <v>179.7</v>
      </c>
      <c r="AL910" s="3">
        <v>106.45</v>
      </c>
      <c r="AM910" s="3">
        <v>60.0</v>
      </c>
      <c r="AN910" s="3">
        <v>95.0</v>
      </c>
      <c r="AO910" s="3">
        <v>248.44</v>
      </c>
      <c r="AP910" s="3">
        <v>56.09</v>
      </c>
    </row>
    <row r="911" ht="15.75" customHeight="1">
      <c r="A911" s="2" t="s">
        <v>181</v>
      </c>
      <c r="B911" s="3">
        <v>286.37</v>
      </c>
    </row>
    <row r="912" ht="15.75" customHeight="1">
      <c r="A912" s="2" t="s">
        <v>212</v>
      </c>
      <c r="B912" s="3">
        <v>59.99</v>
      </c>
    </row>
    <row r="913" ht="15.75" customHeight="1">
      <c r="A913" s="2" t="s">
        <v>108</v>
      </c>
      <c r="B913" s="3">
        <v>3141.6</v>
      </c>
    </row>
    <row r="914" ht="15.75" customHeight="1">
      <c r="A914" s="2" t="s">
        <v>70</v>
      </c>
      <c r="B914" s="3">
        <v>100.0</v>
      </c>
    </row>
    <row r="915" ht="15.75" customHeight="1"/>
    <row r="916" ht="15.75" customHeight="1">
      <c r="A916" s="2" t="s">
        <v>2</v>
      </c>
      <c r="B916" s="47">
        <f>SUM(B910:AV915)</f>
        <v>7521.39</v>
      </c>
    </row>
    <row r="917" ht="15.75" customHeight="1"/>
    <row r="918" ht="15.75" customHeight="1">
      <c r="A918" s="1">
        <v>44287.0</v>
      </c>
    </row>
    <row r="919" ht="15.75" customHeight="1">
      <c r="A919" s="46" t="s">
        <v>0</v>
      </c>
      <c r="B919" s="3">
        <v>92.4</v>
      </c>
      <c r="C919" s="3">
        <v>76.99</v>
      </c>
      <c r="D919" s="3">
        <v>21.45</v>
      </c>
      <c r="E919" s="3">
        <v>16.59</v>
      </c>
      <c r="F919" s="3">
        <v>39.95</v>
      </c>
      <c r="G919" s="3">
        <v>65.93</v>
      </c>
      <c r="H919" s="3">
        <v>48.0</v>
      </c>
      <c r="I919" s="3">
        <v>12.0</v>
      </c>
      <c r="J919" s="3">
        <v>14.33</v>
      </c>
      <c r="K919" s="3">
        <v>83.85</v>
      </c>
      <c r="L919" s="3">
        <v>299.9</v>
      </c>
      <c r="M919" s="3">
        <v>200.0</v>
      </c>
      <c r="N919" s="3">
        <v>67.45</v>
      </c>
      <c r="O919" s="3">
        <v>54.75</v>
      </c>
      <c r="P919" s="3">
        <v>50.0</v>
      </c>
      <c r="Q919" s="3">
        <v>22.66</v>
      </c>
      <c r="R919" s="3">
        <v>127.53</v>
      </c>
      <c r="S919" s="3">
        <v>29.12</v>
      </c>
      <c r="T919" s="3">
        <v>119.94</v>
      </c>
      <c r="U919" s="3">
        <v>52.0</v>
      </c>
      <c r="V919" s="3">
        <v>56.09</v>
      </c>
      <c r="W919" s="3">
        <v>230.0</v>
      </c>
      <c r="X919" s="3">
        <v>22.0</v>
      </c>
      <c r="Y919" s="3">
        <v>36.07</v>
      </c>
      <c r="Z919" s="3">
        <v>234.9</v>
      </c>
      <c r="AA919" s="3">
        <v>207.16</v>
      </c>
      <c r="AB919" s="3">
        <v>209.24</v>
      </c>
      <c r="AC919" s="3">
        <v>319.27</v>
      </c>
      <c r="AD919" s="3">
        <v>59.98</v>
      </c>
      <c r="AE919" s="3">
        <v>213.0</v>
      </c>
      <c r="AF919" s="3">
        <v>257.44</v>
      </c>
      <c r="AG919" s="3">
        <v>273.87</v>
      </c>
      <c r="AH919" s="3">
        <v>43.89</v>
      </c>
      <c r="AI919" s="3">
        <v>340.0</v>
      </c>
      <c r="AJ919" s="3">
        <v>54.9</v>
      </c>
      <c r="AK919" s="3">
        <v>59.85</v>
      </c>
      <c r="AL919" s="3">
        <v>110.0</v>
      </c>
      <c r="AM919" s="3">
        <v>80.0</v>
      </c>
      <c r="AN919" s="3">
        <v>100.0</v>
      </c>
      <c r="AO919" s="3">
        <v>40.38</v>
      </c>
      <c r="AP919" s="3">
        <v>40.0</v>
      </c>
      <c r="AQ919" s="3">
        <v>70.0</v>
      </c>
      <c r="AR919" s="3">
        <v>80.0</v>
      </c>
      <c r="AS919" s="3">
        <v>27.48</v>
      </c>
      <c r="AT919" s="3">
        <v>12.98</v>
      </c>
      <c r="AU919" s="3"/>
      <c r="AV919" s="3"/>
    </row>
    <row r="920" ht="15.75" customHeight="1">
      <c r="A920" s="2" t="s">
        <v>181</v>
      </c>
      <c r="B920" s="3">
        <v>286.36</v>
      </c>
    </row>
    <row r="921" ht="15.75" customHeight="1">
      <c r="A921" s="2" t="s">
        <v>212</v>
      </c>
      <c r="B921" s="3">
        <v>59.99</v>
      </c>
    </row>
    <row r="922" ht="15.75" customHeight="1">
      <c r="A922" s="2" t="s">
        <v>108</v>
      </c>
      <c r="B922" s="3">
        <v>3981.41</v>
      </c>
    </row>
    <row r="923" ht="15.75" customHeight="1">
      <c r="A923" s="2" t="s">
        <v>70</v>
      </c>
      <c r="B923" s="3">
        <v>100.0</v>
      </c>
    </row>
    <row r="924" ht="15.75" customHeight="1">
      <c r="A924" s="2" t="s">
        <v>221</v>
      </c>
      <c r="B924" s="3">
        <v>90.0</v>
      </c>
    </row>
    <row r="925" ht="15.75" customHeight="1"/>
    <row r="926" ht="15.75" customHeight="1">
      <c r="A926" s="2" t="s">
        <v>1</v>
      </c>
      <c r="B926" s="47">
        <f>SUM(B919:BN925)</f>
        <v>9191.1</v>
      </c>
    </row>
    <row r="927" ht="15.75" customHeight="1">
      <c r="A927" s="1">
        <v>44317.0</v>
      </c>
    </row>
    <row r="928" ht="15.75" customHeight="1">
      <c r="A928" s="46" t="s">
        <v>0</v>
      </c>
      <c r="B928" s="3">
        <v>92.4</v>
      </c>
      <c r="C928" s="3">
        <v>76.99</v>
      </c>
      <c r="D928" s="3">
        <v>21.45</v>
      </c>
      <c r="E928" s="3">
        <v>16.59</v>
      </c>
      <c r="F928" s="3">
        <v>65.93</v>
      </c>
      <c r="G928" s="3">
        <v>12.0</v>
      </c>
      <c r="H928" s="3">
        <v>14.33</v>
      </c>
      <c r="I928" s="3">
        <v>83.85</v>
      </c>
      <c r="J928" s="3">
        <v>39.95</v>
      </c>
      <c r="K928" s="3">
        <v>67.45</v>
      </c>
      <c r="L928" s="3">
        <v>54.75</v>
      </c>
      <c r="M928" s="3">
        <v>50.0</v>
      </c>
      <c r="N928" s="3">
        <v>22.66</v>
      </c>
      <c r="O928" s="3">
        <v>29.12</v>
      </c>
      <c r="P928" s="3">
        <v>119.94</v>
      </c>
      <c r="Q928" s="3">
        <v>56.09</v>
      </c>
      <c r="R928" s="3">
        <v>22.0</v>
      </c>
      <c r="S928" s="3">
        <v>59.85</v>
      </c>
      <c r="T928" s="3">
        <v>54.0</v>
      </c>
      <c r="U928" s="3">
        <v>25.0</v>
      </c>
      <c r="V928" s="3">
        <v>119.03</v>
      </c>
      <c r="W928" s="3">
        <v>38.0</v>
      </c>
      <c r="X928" s="3">
        <v>17.78</v>
      </c>
      <c r="Y928" s="3">
        <v>28.28</v>
      </c>
      <c r="Z928" s="3">
        <v>11.98</v>
      </c>
      <c r="AA928" s="3">
        <v>52.3</v>
      </c>
      <c r="AB928" s="3">
        <v>40.0</v>
      </c>
      <c r="AC928" s="3">
        <v>100.0</v>
      </c>
      <c r="AD928" s="3">
        <v>825.38</v>
      </c>
      <c r="AE928" s="3">
        <v>65.0</v>
      </c>
      <c r="AF928" s="3">
        <v>280.0</v>
      </c>
      <c r="AG928" s="3">
        <v>79.8</v>
      </c>
      <c r="AH928" s="3">
        <v>60.0</v>
      </c>
      <c r="AI928" s="3">
        <v>120.0</v>
      </c>
      <c r="AJ928" s="3">
        <v>59.0</v>
      </c>
      <c r="AK928" s="3">
        <v>441.28</v>
      </c>
      <c r="AL928" s="3">
        <v>73.46</v>
      </c>
      <c r="AM928" s="3">
        <v>42.45</v>
      </c>
      <c r="AN928" s="3">
        <v>201.55</v>
      </c>
      <c r="AO928" s="3">
        <v>131.4</v>
      </c>
      <c r="AP928" s="3">
        <v>275.0</v>
      </c>
      <c r="AQ928" s="3">
        <v>59.9</v>
      </c>
      <c r="AR928" s="3">
        <v>82.0</v>
      </c>
    </row>
    <row r="929" ht="15.75" customHeight="1"/>
    <row r="930" ht="15.75" customHeight="1">
      <c r="A930" s="2" t="s">
        <v>212</v>
      </c>
      <c r="B930" s="3">
        <v>59.99</v>
      </c>
    </row>
    <row r="931" ht="15.75" customHeight="1">
      <c r="A931" s="2" t="s">
        <v>108</v>
      </c>
      <c r="B931" s="3">
        <v>3109.68</v>
      </c>
    </row>
    <row r="932" ht="15.75" customHeight="1">
      <c r="A932" s="2" t="s">
        <v>70</v>
      </c>
      <c r="B932" s="3">
        <v>100.0</v>
      </c>
    </row>
    <row r="933" ht="15.75" customHeight="1"/>
    <row r="934" ht="15.75" customHeight="1"/>
    <row r="935" ht="15.75" customHeight="1">
      <c r="A935" s="2" t="s">
        <v>1</v>
      </c>
      <c r="B935" s="47">
        <f>SUM(B928:CD934)</f>
        <v>7457.61</v>
      </c>
    </row>
    <row r="936" ht="15.75" customHeight="1">
      <c r="A936" s="1">
        <v>44348.0</v>
      </c>
    </row>
    <row r="937" ht="15.75" customHeight="1">
      <c r="A937" s="46" t="s">
        <v>0</v>
      </c>
      <c r="B937" s="3">
        <v>92.4</v>
      </c>
      <c r="C937" s="3">
        <v>76.99</v>
      </c>
      <c r="D937" s="3">
        <v>21.45</v>
      </c>
      <c r="E937" s="3">
        <v>16.59</v>
      </c>
      <c r="F937" s="3">
        <v>65.93</v>
      </c>
      <c r="G937" s="3">
        <v>14.33</v>
      </c>
      <c r="H937" s="3">
        <v>83.85</v>
      </c>
      <c r="I937" s="3">
        <v>39.95</v>
      </c>
      <c r="J937" s="3">
        <v>54.75</v>
      </c>
      <c r="K937" s="3">
        <v>50.0</v>
      </c>
      <c r="L937" s="3">
        <v>22.66</v>
      </c>
      <c r="M937" s="3">
        <v>29.12</v>
      </c>
      <c r="N937" s="3">
        <v>119.94</v>
      </c>
      <c r="O937" s="3">
        <v>56.09</v>
      </c>
      <c r="P937" s="3">
        <v>22.0</v>
      </c>
      <c r="Q937" s="3">
        <v>119.03</v>
      </c>
      <c r="R937" s="3">
        <v>52.3</v>
      </c>
      <c r="S937" s="3">
        <v>65.0</v>
      </c>
      <c r="T937" s="3">
        <v>120.0</v>
      </c>
      <c r="U937" s="3">
        <v>42.45</v>
      </c>
      <c r="V937" s="3">
        <v>59.9</v>
      </c>
      <c r="W937" s="3">
        <v>74.75</v>
      </c>
      <c r="X937" s="3">
        <v>37.25</v>
      </c>
      <c r="Y937" s="3">
        <v>150.7</v>
      </c>
      <c r="Z937" s="3">
        <v>164.64</v>
      </c>
      <c r="AA937" s="3">
        <v>97.1</v>
      </c>
      <c r="AB937" s="3">
        <v>191.38</v>
      </c>
      <c r="AC937" s="3">
        <v>469.9</v>
      </c>
      <c r="AD937" s="3">
        <v>117.95</v>
      </c>
      <c r="AE937" s="3">
        <v>112.56</v>
      </c>
      <c r="AF937" s="3"/>
      <c r="AG937" s="3">
        <v>315.0</v>
      </c>
      <c r="AH937" s="3">
        <v>441.28</v>
      </c>
      <c r="AI937" s="3">
        <v>19.4</v>
      </c>
      <c r="AJ937" s="3">
        <v>73.28</v>
      </c>
      <c r="AK937" s="3">
        <v>545.36</v>
      </c>
      <c r="AL937" s="3">
        <v>132.12</v>
      </c>
      <c r="AM937" s="3">
        <v>124.47</v>
      </c>
      <c r="AN937" s="3">
        <v>25.0</v>
      </c>
      <c r="AO937" s="3">
        <v>30.0</v>
      </c>
      <c r="AP937" s="3">
        <v>161.4</v>
      </c>
      <c r="AQ937" s="3">
        <v>247.64</v>
      </c>
      <c r="AR937" s="3">
        <v>112.0</v>
      </c>
      <c r="AS937" s="3">
        <v>270.0</v>
      </c>
      <c r="AT937" s="3">
        <v>43.7</v>
      </c>
      <c r="AU937" s="3">
        <v>108.1</v>
      </c>
      <c r="AV937" s="3">
        <v>19.78</v>
      </c>
      <c r="AW937" s="3">
        <v>51.6</v>
      </c>
      <c r="AX937" s="3">
        <v>39.6</v>
      </c>
      <c r="AY937" s="3">
        <v>29.0</v>
      </c>
      <c r="AZ937" s="3">
        <v>51.2</v>
      </c>
      <c r="BA937" s="3">
        <v>115.5</v>
      </c>
      <c r="BB937" s="3">
        <v>106.0</v>
      </c>
      <c r="BC937" s="3">
        <v>167.7</v>
      </c>
    </row>
    <row r="938" ht="15.75" customHeight="1">
      <c r="A938" s="2" t="s">
        <v>212</v>
      </c>
      <c r="B938" s="3">
        <v>59.99</v>
      </c>
    </row>
    <row r="939" ht="15.75" customHeight="1">
      <c r="A939" s="2" t="s">
        <v>108</v>
      </c>
      <c r="B939" s="3">
        <v>2330.0</v>
      </c>
    </row>
    <row r="940" ht="15.75" customHeight="1">
      <c r="A940" s="2" t="s">
        <v>70</v>
      </c>
      <c r="B940" s="3">
        <v>100.0</v>
      </c>
    </row>
    <row r="941" ht="15.75" customHeight="1">
      <c r="A941" s="2" t="s">
        <v>222</v>
      </c>
      <c r="B941" s="3">
        <v>124.9</v>
      </c>
      <c r="C941" s="3">
        <v>30.0</v>
      </c>
    </row>
    <row r="942" ht="15.75" customHeight="1">
      <c r="A942" s="2" t="s">
        <v>223</v>
      </c>
      <c r="B942" s="3">
        <v>38.0</v>
      </c>
    </row>
    <row r="943" ht="15.75" customHeight="1">
      <c r="A943" s="2" t="s">
        <v>1</v>
      </c>
      <c r="B943" s="47">
        <f>SUM(B937:CD942)</f>
        <v>8552.98</v>
      </c>
    </row>
    <row r="944" ht="15.75" customHeight="1">
      <c r="A944" s="1">
        <v>44378.0</v>
      </c>
      <c r="AH944" s="2" t="s">
        <v>104</v>
      </c>
    </row>
    <row r="945" ht="15.75" customHeight="1">
      <c r="A945" s="46" t="s">
        <v>0</v>
      </c>
      <c r="B945" s="3">
        <v>92.4</v>
      </c>
      <c r="C945" s="3">
        <v>76.99</v>
      </c>
      <c r="D945" s="3">
        <v>21.45</v>
      </c>
      <c r="E945" s="3">
        <v>16.59</v>
      </c>
      <c r="F945" s="3">
        <v>65.93</v>
      </c>
      <c r="G945" s="3">
        <v>54.75</v>
      </c>
      <c r="H945" s="3">
        <v>50.0</v>
      </c>
      <c r="I945" s="3">
        <v>22.66</v>
      </c>
      <c r="J945" s="3">
        <v>52.3</v>
      </c>
      <c r="K945" s="3">
        <v>74.75</v>
      </c>
      <c r="L945" s="3">
        <v>37.25</v>
      </c>
      <c r="M945" s="3">
        <v>73.27</v>
      </c>
      <c r="N945" s="3">
        <v>235.0</v>
      </c>
      <c r="O945" s="3">
        <v>441.28</v>
      </c>
      <c r="P945" s="3">
        <v>73.28</v>
      </c>
      <c r="Q945" s="3">
        <v>545.36</v>
      </c>
      <c r="R945" s="3">
        <v>132.12</v>
      </c>
      <c r="S945" s="3">
        <v>124.46</v>
      </c>
      <c r="T945" s="3">
        <v>161.4</v>
      </c>
      <c r="U945" s="3">
        <v>247.64</v>
      </c>
      <c r="V945" s="3">
        <v>54.81</v>
      </c>
      <c r="W945" s="3">
        <v>43.7</v>
      </c>
      <c r="X945" s="3">
        <v>175.0</v>
      </c>
      <c r="Y945" s="3">
        <v>251.7</v>
      </c>
      <c r="Z945" s="3">
        <v>240.0</v>
      </c>
      <c r="AA945" s="3">
        <v>136.68</v>
      </c>
      <c r="AB945" s="3">
        <v>333.34</v>
      </c>
      <c r="AC945" s="3">
        <v>264.89</v>
      </c>
      <c r="AD945" s="3">
        <v>210.59</v>
      </c>
      <c r="AE945" s="3">
        <v>36.0</v>
      </c>
      <c r="AF945" s="3">
        <v>99.5</v>
      </c>
      <c r="AG945" s="3">
        <v>65.98</v>
      </c>
      <c r="AH945" s="3">
        <v>265.0</v>
      </c>
      <c r="AI945" s="3">
        <v>50.0</v>
      </c>
      <c r="AJ945" s="3">
        <v>54.9</v>
      </c>
      <c r="AK945" s="3">
        <v>43.5</v>
      </c>
      <c r="AL945" s="3">
        <v>44.9</v>
      </c>
      <c r="AM945" s="3">
        <v>103.53</v>
      </c>
      <c r="AN945" s="3">
        <v>50.0</v>
      </c>
      <c r="AO945" s="3">
        <v>48.33</v>
      </c>
      <c r="AP945" s="3">
        <v>73.59</v>
      </c>
      <c r="AQ945" s="3">
        <v>94.37</v>
      </c>
      <c r="AR945" s="3">
        <v>218.0</v>
      </c>
      <c r="AS945" s="3">
        <v>48.12</v>
      </c>
      <c r="AT945" s="3">
        <v>68.92</v>
      </c>
      <c r="AU945" s="3">
        <v>41.0</v>
      </c>
      <c r="AV945" s="3">
        <v>35.0</v>
      </c>
      <c r="AW945" s="3">
        <v>18.0</v>
      </c>
      <c r="AX945" s="3">
        <v>18.0</v>
      </c>
      <c r="AY945" s="3">
        <v>13.5</v>
      </c>
      <c r="AZ945" s="3">
        <v>92.37</v>
      </c>
      <c r="BA945" s="3">
        <v>43.8</v>
      </c>
      <c r="BB945" s="3">
        <v>24.0</v>
      </c>
      <c r="BC945" s="3">
        <v>8.0</v>
      </c>
      <c r="BD945" s="3">
        <v>24.0</v>
      </c>
      <c r="BE945" s="3">
        <v>12.0</v>
      </c>
      <c r="BF945" s="3">
        <v>9.94</v>
      </c>
      <c r="BG945" s="3">
        <v>50.04</v>
      </c>
      <c r="BH945" s="3">
        <v>31.0</v>
      </c>
      <c r="BI945" s="3">
        <v>39.79</v>
      </c>
      <c r="BJ945" s="3">
        <v>41.0</v>
      </c>
      <c r="BK945" s="3">
        <v>76.9</v>
      </c>
      <c r="BL945" s="3">
        <v>65.0</v>
      </c>
      <c r="BM945" s="3">
        <v>40.0</v>
      </c>
      <c r="BN945" s="3">
        <v>52.29</v>
      </c>
      <c r="BO945" s="3">
        <v>26.96</v>
      </c>
      <c r="BP945" s="3">
        <v>125.0</v>
      </c>
      <c r="BQ945" s="3">
        <v>26.96</v>
      </c>
      <c r="BR945" s="3">
        <v>52.58</v>
      </c>
    </row>
    <row r="946" ht="15.75" customHeight="1">
      <c r="A946" s="2" t="s">
        <v>212</v>
      </c>
      <c r="B946" s="3">
        <v>59.99</v>
      </c>
      <c r="D946" s="2" t="s">
        <v>224</v>
      </c>
      <c r="E946" s="3">
        <v>277.0</v>
      </c>
    </row>
    <row r="947" ht="15.75" customHeight="1">
      <c r="A947" s="2" t="s">
        <v>108</v>
      </c>
      <c r="B947" s="3">
        <v>30.0</v>
      </c>
      <c r="D947" s="2" t="s">
        <v>225</v>
      </c>
      <c r="E947" s="3">
        <v>30.9</v>
      </c>
    </row>
    <row r="948" ht="15.75" customHeight="1">
      <c r="A948" s="2" t="s">
        <v>70</v>
      </c>
      <c r="B948" s="3">
        <v>100.0</v>
      </c>
      <c r="D948" s="2" t="s">
        <v>226</v>
      </c>
      <c r="E948" s="3">
        <v>1371.78</v>
      </c>
    </row>
    <row r="949" ht="15.75" customHeight="1">
      <c r="A949" s="2" t="s">
        <v>88</v>
      </c>
      <c r="B949" s="3">
        <v>92.39</v>
      </c>
      <c r="D949" s="2" t="s">
        <v>109</v>
      </c>
      <c r="E949" s="3">
        <v>154.79</v>
      </c>
    </row>
    <row r="950" ht="15.75" customHeight="1">
      <c r="A950" s="2" t="s">
        <v>227</v>
      </c>
      <c r="B950" s="3">
        <v>262.5</v>
      </c>
    </row>
    <row r="951" ht="15.75" customHeight="1">
      <c r="A951" s="2" t="s">
        <v>87</v>
      </c>
    </row>
    <row r="952" ht="15.75" customHeight="1">
      <c r="A952" s="2" t="s">
        <v>1</v>
      </c>
      <c r="B952" s="2">
        <f>SUM(B945:CM951)</f>
        <v>9020.71</v>
      </c>
    </row>
    <row r="953" ht="15.75" customHeight="1">
      <c r="A953" s="1">
        <v>44409.0</v>
      </c>
    </row>
    <row r="954" ht="15.75" customHeight="1">
      <c r="A954" s="46" t="s">
        <v>0</v>
      </c>
      <c r="B954" s="3">
        <v>16.59</v>
      </c>
      <c r="C954" s="3">
        <v>65.93</v>
      </c>
      <c r="D954" s="3">
        <v>76.99</v>
      </c>
      <c r="E954" s="3">
        <v>21.45</v>
      </c>
      <c r="F954" s="3">
        <v>22.66</v>
      </c>
      <c r="G954" s="3">
        <v>25.0</v>
      </c>
      <c r="H954" s="3">
        <v>315.0</v>
      </c>
      <c r="I954" s="3">
        <v>441.28</v>
      </c>
      <c r="J954" s="3">
        <v>73.28</v>
      </c>
      <c r="K954" s="3">
        <v>132.12</v>
      </c>
      <c r="L954" s="3">
        <v>124.47</v>
      </c>
      <c r="M954" s="3">
        <v>161.4</v>
      </c>
      <c r="N954" s="3">
        <v>247.64</v>
      </c>
      <c r="O954" s="3">
        <v>54.81</v>
      </c>
      <c r="P954" s="3">
        <v>175.0</v>
      </c>
      <c r="Q954" s="3">
        <v>136.68</v>
      </c>
      <c r="R954" s="3">
        <v>333.34</v>
      </c>
      <c r="S954" s="3">
        <v>264.89</v>
      </c>
      <c r="T954" s="3">
        <v>210.59</v>
      </c>
      <c r="U954" s="3">
        <v>99.5</v>
      </c>
      <c r="V954" s="3">
        <v>65.99</v>
      </c>
      <c r="W954" s="3">
        <v>44.9</v>
      </c>
      <c r="X954" s="3">
        <v>26.54</v>
      </c>
      <c r="Y954" s="3">
        <v>285.1</v>
      </c>
      <c r="Z954" s="3">
        <v>207.36</v>
      </c>
      <c r="AA954" s="3">
        <v>19.0</v>
      </c>
      <c r="AB954" s="3">
        <v>54.7</v>
      </c>
      <c r="AC954" s="3">
        <v>175.97</v>
      </c>
      <c r="AD954" s="3">
        <v>100.85</v>
      </c>
      <c r="AE954" s="3">
        <v>58.33</v>
      </c>
      <c r="AF954" s="3">
        <v>18.9</v>
      </c>
      <c r="AG954" s="3">
        <v>160.9</v>
      </c>
      <c r="AH954" s="3">
        <v>32.86</v>
      </c>
      <c r="AI954" s="3">
        <v>170.0</v>
      </c>
      <c r="AJ954" s="3">
        <v>93.3</v>
      </c>
      <c r="AK954" s="3">
        <v>69.9</v>
      </c>
      <c r="AL954" s="3">
        <v>69.95</v>
      </c>
      <c r="AM954" s="3">
        <v>15.0</v>
      </c>
      <c r="AN954" s="3">
        <v>50.95</v>
      </c>
      <c r="AO954" s="3">
        <v>260.0</v>
      </c>
      <c r="AP954" s="3">
        <v>31.99</v>
      </c>
      <c r="AQ954" s="3"/>
    </row>
    <row r="955" ht="15.75" customHeight="1">
      <c r="A955" s="2" t="s">
        <v>212</v>
      </c>
      <c r="B955" s="3">
        <v>65.99</v>
      </c>
      <c r="D955" s="2" t="s">
        <v>228</v>
      </c>
      <c r="E955" s="3">
        <v>94.0</v>
      </c>
    </row>
    <row r="956" ht="15.75" customHeight="1">
      <c r="A956" s="2" t="s">
        <v>108</v>
      </c>
      <c r="B956" s="3">
        <v>1030.0</v>
      </c>
      <c r="D956" s="2" t="s">
        <v>118</v>
      </c>
      <c r="E956" s="3">
        <v>128.85</v>
      </c>
    </row>
    <row r="957" ht="15.75" customHeight="1">
      <c r="A957" s="2" t="s">
        <v>70</v>
      </c>
      <c r="B957" s="3">
        <v>100.0</v>
      </c>
      <c r="D957" s="2" t="s">
        <v>229</v>
      </c>
      <c r="E957" s="3">
        <v>50.0</v>
      </c>
    </row>
    <row r="958" ht="15.75" customHeight="1">
      <c r="A958" s="2" t="s">
        <v>88</v>
      </c>
      <c r="B958" s="3">
        <v>257.12</v>
      </c>
      <c r="D958" s="2" t="s">
        <v>111</v>
      </c>
      <c r="E958" s="3">
        <v>2000.0</v>
      </c>
    </row>
    <row r="959" ht="15.75" customHeight="1"/>
    <row r="960" ht="15.75" customHeight="1"/>
    <row r="961" ht="15.75" customHeight="1">
      <c r="A961" s="2" t="s">
        <v>1</v>
      </c>
      <c r="B961" s="2">
        <f>SUM(B954:AQ960)</f>
        <v>8737.07</v>
      </c>
    </row>
    <row r="962" ht="15.75" customHeight="1">
      <c r="A962" s="1">
        <v>44440.0</v>
      </c>
    </row>
    <row r="963" ht="15.75" customHeight="1">
      <c r="A963" s="46" t="s">
        <v>0</v>
      </c>
      <c r="B963" s="3">
        <v>16.59</v>
      </c>
      <c r="C963" s="3">
        <v>65.93</v>
      </c>
      <c r="D963" s="3">
        <v>22.66</v>
      </c>
      <c r="E963" s="3">
        <v>315.0</v>
      </c>
      <c r="F963" s="3">
        <v>132.12</v>
      </c>
      <c r="G963" s="3">
        <v>161.4</v>
      </c>
      <c r="H963" s="3">
        <v>247.64</v>
      </c>
      <c r="I963" s="3">
        <v>54.81</v>
      </c>
      <c r="J963" s="3">
        <v>136.68</v>
      </c>
      <c r="K963" s="3">
        <v>333.33</v>
      </c>
      <c r="L963" s="3">
        <v>264.89</v>
      </c>
      <c r="M963" s="3">
        <v>210.59</v>
      </c>
      <c r="N963" s="3">
        <v>65.98</v>
      </c>
      <c r="P963" s="3">
        <v>26.54</v>
      </c>
      <c r="Q963" s="3">
        <v>100.85</v>
      </c>
      <c r="R963" s="3">
        <v>93.3</v>
      </c>
      <c r="S963" s="3">
        <v>31.99</v>
      </c>
      <c r="T963" s="3">
        <v>50.95</v>
      </c>
      <c r="U963" s="3">
        <v>80.0</v>
      </c>
      <c r="V963" s="3">
        <v>100.0</v>
      </c>
      <c r="W963" s="3">
        <v>44.2</v>
      </c>
      <c r="X963" s="3">
        <v>130.0</v>
      </c>
      <c r="Y963" s="3">
        <v>290.0</v>
      </c>
      <c r="Z963" s="3">
        <v>40.0</v>
      </c>
      <c r="AA963" s="3">
        <v>254.57</v>
      </c>
      <c r="AB963" s="3">
        <v>59.9</v>
      </c>
      <c r="AC963" s="3">
        <v>182.36</v>
      </c>
      <c r="AD963" s="3">
        <v>31.76</v>
      </c>
      <c r="AF963" s="3">
        <v>61.5</v>
      </c>
      <c r="AG963" s="3">
        <v>108.34</v>
      </c>
      <c r="AI963" s="3">
        <v>100.47</v>
      </c>
      <c r="AJ963" s="3">
        <v>105.0</v>
      </c>
      <c r="AK963" s="3">
        <v>106.99</v>
      </c>
      <c r="AL963" s="3">
        <v>43.3</v>
      </c>
      <c r="AM963" s="3">
        <v>14.5</v>
      </c>
      <c r="AN963" s="3">
        <v>25.0</v>
      </c>
      <c r="AO963" s="3">
        <v>40.0</v>
      </c>
      <c r="AP963" s="3">
        <v>27.1</v>
      </c>
      <c r="AQ963" s="3">
        <v>51.68</v>
      </c>
      <c r="AR963" s="3">
        <v>15.5</v>
      </c>
    </row>
    <row r="964" ht="15.75" customHeight="1">
      <c r="A964" s="2" t="s">
        <v>212</v>
      </c>
      <c r="B964" s="3">
        <v>65.99</v>
      </c>
      <c r="D964" s="2" t="s">
        <v>228</v>
      </c>
      <c r="E964" s="3">
        <v>94.0</v>
      </c>
    </row>
    <row r="965" ht="15.75" customHeight="1">
      <c r="A965" s="2" t="s">
        <v>108</v>
      </c>
      <c r="B965" s="3">
        <v>50.0</v>
      </c>
      <c r="D965" s="2" t="s">
        <v>111</v>
      </c>
      <c r="E965" s="3">
        <v>2000.0</v>
      </c>
    </row>
    <row r="966" ht="15.75" customHeight="1">
      <c r="A966" s="2" t="s">
        <v>70</v>
      </c>
      <c r="B966" s="3">
        <v>100.0</v>
      </c>
      <c r="E966" s="3"/>
    </row>
    <row r="967" ht="15.75" customHeight="1">
      <c r="A967" s="2" t="s">
        <v>113</v>
      </c>
      <c r="B967" s="3">
        <v>1242.5</v>
      </c>
    </row>
    <row r="968" ht="15.75" customHeight="1">
      <c r="A968" s="2" t="s">
        <v>109</v>
      </c>
      <c r="B968" s="3">
        <v>173.09</v>
      </c>
    </row>
    <row r="969" ht="15.75" customHeight="1"/>
    <row r="970" ht="15.75" customHeight="1">
      <c r="A970" s="2" t="s">
        <v>1</v>
      </c>
      <c r="B970" s="2">
        <f>SUM(B963:BO969)</f>
        <v>7969</v>
      </c>
    </row>
    <row r="971" ht="15.75" customHeight="1">
      <c r="A971" s="1">
        <v>44470.0</v>
      </c>
    </row>
    <row r="972" ht="15.75" customHeight="1">
      <c r="A972" s="46" t="s">
        <v>0</v>
      </c>
      <c r="B972" s="3">
        <v>65.93</v>
      </c>
      <c r="C972" s="3">
        <v>16.59</v>
      </c>
      <c r="D972" s="3">
        <v>22.66</v>
      </c>
      <c r="E972" s="3">
        <v>195.0</v>
      </c>
      <c r="F972" s="3">
        <v>132.12</v>
      </c>
      <c r="G972" s="3">
        <v>247.64</v>
      </c>
      <c r="H972" s="3">
        <v>54.81</v>
      </c>
      <c r="I972" s="3">
        <v>264.89</v>
      </c>
      <c r="J972" s="3">
        <v>210.59</v>
      </c>
      <c r="K972" s="3">
        <v>65.99</v>
      </c>
      <c r="L972" s="3">
        <v>100.85</v>
      </c>
      <c r="M972" s="3">
        <v>93.3</v>
      </c>
      <c r="N972" s="3">
        <v>31.98</v>
      </c>
      <c r="O972" s="3">
        <v>10.0</v>
      </c>
      <c r="P972" s="3">
        <v>254.57</v>
      </c>
      <c r="Q972" s="3">
        <v>108.34</v>
      </c>
      <c r="R972" s="3">
        <v>100.47</v>
      </c>
      <c r="S972" s="3">
        <v>61.5</v>
      </c>
      <c r="T972" s="3">
        <v>43.3</v>
      </c>
      <c r="U972" s="3">
        <v>25.0</v>
      </c>
      <c r="V972" s="3">
        <v>40.0</v>
      </c>
      <c r="W972" s="3">
        <v>27.1</v>
      </c>
      <c r="X972" s="3">
        <v>244.0</v>
      </c>
      <c r="Y972" s="3">
        <v>69.8</v>
      </c>
      <c r="Z972" s="3">
        <v>90.73</v>
      </c>
      <c r="AA972" s="3">
        <v>50.87</v>
      </c>
      <c r="AB972" s="3">
        <v>39.9</v>
      </c>
      <c r="AC972" s="3">
        <v>54.9</v>
      </c>
      <c r="AD972" s="3">
        <v>141.04</v>
      </c>
      <c r="AE972" s="3">
        <v>41.08</v>
      </c>
      <c r="AF972" s="3">
        <v>155.49</v>
      </c>
      <c r="AG972" s="3">
        <v>205.19</v>
      </c>
      <c r="AH972" s="3">
        <v>62.81</v>
      </c>
      <c r="AI972" s="3">
        <v>85.47</v>
      </c>
      <c r="AJ972" s="3">
        <v>64.8</v>
      </c>
      <c r="AK972" s="3">
        <v>64.98</v>
      </c>
      <c r="AL972" s="3">
        <v>193.94</v>
      </c>
      <c r="AM972" s="3">
        <v>18.9</v>
      </c>
      <c r="AN972" s="3">
        <v>120.61</v>
      </c>
      <c r="AO972" s="3">
        <v>88.9</v>
      </c>
      <c r="AP972" s="3">
        <v>15.74</v>
      </c>
      <c r="AQ972" s="3">
        <v>285.0</v>
      </c>
      <c r="AR972" s="3">
        <v>116.0</v>
      </c>
      <c r="AS972" s="3">
        <v>56.75</v>
      </c>
      <c r="AT972" s="3">
        <v>10.09</v>
      </c>
      <c r="AU972" s="3">
        <v>76.38</v>
      </c>
    </row>
    <row r="973" ht="15.75" customHeight="1">
      <c r="A973" s="2" t="s">
        <v>212</v>
      </c>
      <c r="B973" s="3">
        <v>65.99</v>
      </c>
      <c r="D973" s="2" t="s">
        <v>228</v>
      </c>
      <c r="E973" s="3">
        <v>94.0</v>
      </c>
    </row>
    <row r="974" ht="15.75" customHeight="1">
      <c r="A974" s="2" t="s">
        <v>108</v>
      </c>
      <c r="B974" s="3">
        <v>50.0</v>
      </c>
      <c r="E974" s="3"/>
    </row>
    <row r="975" ht="15.75" customHeight="1">
      <c r="A975" s="2" t="s">
        <v>70</v>
      </c>
      <c r="B975" s="3">
        <v>100.0</v>
      </c>
      <c r="D975" s="2" t="s">
        <v>114</v>
      </c>
      <c r="E975" s="48">
        <v>560.0</v>
      </c>
      <c r="F975" s="3">
        <v>350.0</v>
      </c>
    </row>
    <row r="976" ht="15.75" customHeight="1">
      <c r="A976" s="2" t="s">
        <v>88</v>
      </c>
      <c r="B976" s="3">
        <v>185.29</v>
      </c>
      <c r="D976" s="49" t="s">
        <v>113</v>
      </c>
      <c r="E976" s="3">
        <v>1242.5</v>
      </c>
    </row>
    <row r="977" ht="15.75" customHeight="1">
      <c r="A977" s="2" t="s">
        <v>109</v>
      </c>
      <c r="B977" s="3">
        <v>160.89</v>
      </c>
      <c r="D977" s="2" t="s">
        <v>230</v>
      </c>
      <c r="E977" s="3">
        <v>422.0</v>
      </c>
    </row>
    <row r="978" ht="15.75" customHeight="1">
      <c r="A978" s="2" t="s">
        <v>87</v>
      </c>
      <c r="B978" s="3">
        <v>179.9</v>
      </c>
      <c r="D978" s="2" t="s">
        <v>231</v>
      </c>
      <c r="E978" s="3">
        <v>130.0</v>
      </c>
      <c r="F978" s="3">
        <v>130.0</v>
      </c>
    </row>
    <row r="979" ht="15.75" customHeight="1">
      <c r="A979" s="2" t="s">
        <v>1</v>
      </c>
      <c r="B979" s="2">
        <f>SUM(B972:BW978)</f>
        <v>8196.57</v>
      </c>
    </row>
    <row r="980" ht="15.75" customHeight="1">
      <c r="A980" s="1">
        <v>44501.0</v>
      </c>
    </row>
    <row r="981" ht="15.75" customHeight="1">
      <c r="A981" s="46" t="s">
        <v>0</v>
      </c>
      <c r="B981" s="3">
        <v>65.93</v>
      </c>
      <c r="C981" s="3">
        <v>22.66</v>
      </c>
      <c r="D981" s="3">
        <v>315.0</v>
      </c>
      <c r="E981" s="3">
        <v>247.64</v>
      </c>
      <c r="F981" s="3">
        <v>54.81</v>
      </c>
      <c r="G981" s="3">
        <v>264.89</v>
      </c>
      <c r="H981" s="3">
        <v>210.59</v>
      </c>
      <c r="I981" s="3">
        <v>100.85</v>
      </c>
      <c r="J981" s="3">
        <v>31.98</v>
      </c>
      <c r="K981" s="3">
        <v>254.57</v>
      </c>
      <c r="L981" s="3">
        <v>108.34</v>
      </c>
      <c r="M981" s="3">
        <v>100.47</v>
      </c>
      <c r="N981" s="3">
        <v>43.3</v>
      </c>
      <c r="O981" s="3">
        <v>27.1</v>
      </c>
      <c r="P981" s="3">
        <v>37.02</v>
      </c>
      <c r="Q981" s="3">
        <v>59.9</v>
      </c>
      <c r="R981" s="3">
        <v>205.19</v>
      </c>
      <c r="S981" s="3">
        <v>62.81</v>
      </c>
      <c r="T981" s="3">
        <v>116.0</v>
      </c>
      <c r="U981" s="3">
        <v>56.75</v>
      </c>
      <c r="V981" s="3">
        <v>10.09</v>
      </c>
      <c r="W981" s="3">
        <v>76.38</v>
      </c>
      <c r="X981" s="3">
        <v>36.47</v>
      </c>
      <c r="Y981" s="3">
        <v>64.06</v>
      </c>
      <c r="Z981" s="3">
        <v>275.0</v>
      </c>
      <c r="AA981" s="3">
        <v>49.95</v>
      </c>
      <c r="AB981" s="3">
        <v>84.33</v>
      </c>
      <c r="AC981" s="3">
        <v>88.73</v>
      </c>
      <c r="AD981" s="3">
        <v>162.22</v>
      </c>
      <c r="AE981" s="3">
        <v>12.5</v>
      </c>
      <c r="AF981" s="3">
        <v>57.5</v>
      </c>
      <c r="AG981" s="3">
        <v>62.5</v>
      </c>
      <c r="AH981" s="3">
        <v>33.86</v>
      </c>
      <c r="AI981" s="3">
        <v>7.0</v>
      </c>
      <c r="AJ981" s="3">
        <v>44.0</v>
      </c>
      <c r="AK981" s="3">
        <v>40.0</v>
      </c>
      <c r="AL981" s="3">
        <v>91.9</v>
      </c>
      <c r="AM981" s="3">
        <v>79.74</v>
      </c>
      <c r="AN981" s="3">
        <v>30.01</v>
      </c>
      <c r="AO981" s="3">
        <v>98.67</v>
      </c>
      <c r="AP981" s="3">
        <v>54.9</v>
      </c>
      <c r="AQ981" s="3">
        <v>41.56</v>
      </c>
      <c r="AR981" s="3">
        <v>760.0</v>
      </c>
      <c r="AS981" s="3">
        <v>59.9</v>
      </c>
      <c r="AT981" s="3">
        <v>115.3</v>
      </c>
      <c r="AU981" s="3">
        <v>9.9</v>
      </c>
      <c r="AV981" s="3">
        <v>30.99</v>
      </c>
      <c r="AW981" s="3">
        <v>7.99</v>
      </c>
      <c r="AX981" s="3">
        <v>43.2</v>
      </c>
      <c r="AY981" s="3">
        <v>14.0</v>
      </c>
      <c r="AZ981" s="3">
        <v>26.56</v>
      </c>
    </row>
    <row r="982" ht="15.75" customHeight="1">
      <c r="A982" s="2" t="s">
        <v>113</v>
      </c>
      <c r="B982" s="3">
        <v>621.25</v>
      </c>
      <c r="C982" s="3"/>
      <c r="D982" s="3"/>
      <c r="E982" s="3"/>
    </row>
    <row r="983" ht="15.75" customHeight="1">
      <c r="A983" s="2" t="s">
        <v>212</v>
      </c>
      <c r="B983" s="3">
        <v>47.19</v>
      </c>
      <c r="D983" s="2" t="s">
        <v>111</v>
      </c>
      <c r="E983" s="3">
        <v>500.0</v>
      </c>
    </row>
    <row r="984" ht="15.75" customHeight="1">
      <c r="A984" s="2" t="s">
        <v>108</v>
      </c>
      <c r="B984" s="3">
        <v>50.0</v>
      </c>
      <c r="D984" s="2" t="s">
        <v>110</v>
      </c>
      <c r="E984" s="3">
        <v>580.29</v>
      </c>
    </row>
    <row r="985" ht="15.75" customHeight="1">
      <c r="A985" s="2" t="s">
        <v>70</v>
      </c>
      <c r="B985" s="3">
        <v>100.0</v>
      </c>
      <c r="D985" s="2" t="s">
        <v>232</v>
      </c>
      <c r="E985" s="3">
        <v>165.0</v>
      </c>
    </row>
    <row r="986" ht="15.75" customHeight="1">
      <c r="A986" s="2" t="s">
        <v>88</v>
      </c>
      <c r="B986" s="3">
        <v>313.18</v>
      </c>
    </row>
    <row r="987" ht="15.75" customHeight="1">
      <c r="B987" s="32"/>
    </row>
    <row r="988" ht="15.75" customHeight="1"/>
    <row r="989" ht="15.75" customHeight="1">
      <c r="A989" s="2" t="s">
        <v>1</v>
      </c>
      <c r="B989" s="2">
        <f>SUM(B981:DM988)</f>
        <v>7331.92</v>
      </c>
    </row>
    <row r="990" ht="15.75" customHeight="1">
      <c r="A990" s="1">
        <v>44531.0</v>
      </c>
    </row>
    <row r="991" ht="15.75" customHeight="1">
      <c r="A991" s="2" t="s">
        <v>46</v>
      </c>
      <c r="B991" s="3">
        <v>65.93</v>
      </c>
      <c r="C991" s="3">
        <v>22.66</v>
      </c>
      <c r="D991" s="3">
        <v>285.0</v>
      </c>
      <c r="E991" s="3">
        <v>247.64</v>
      </c>
      <c r="F991" s="3">
        <v>264.89</v>
      </c>
      <c r="G991" s="3">
        <v>100.85</v>
      </c>
      <c r="H991" s="3">
        <v>31.99</v>
      </c>
      <c r="I991" s="3">
        <v>254.57</v>
      </c>
      <c r="J991" s="3">
        <v>100.47</v>
      </c>
      <c r="K991" s="3">
        <v>27.1</v>
      </c>
      <c r="L991" s="3">
        <v>62.81</v>
      </c>
      <c r="M991" s="3">
        <v>116.0</v>
      </c>
      <c r="N991" s="3">
        <v>56.75</v>
      </c>
      <c r="O991" s="3">
        <v>10.09</v>
      </c>
      <c r="P991" s="3">
        <v>76.38</v>
      </c>
      <c r="Q991" s="3">
        <v>64.06</v>
      </c>
      <c r="R991" s="3">
        <v>49.95</v>
      </c>
      <c r="S991" s="3">
        <v>242.02</v>
      </c>
      <c r="T991" s="3">
        <v>84.33</v>
      </c>
      <c r="U991" s="3">
        <v>88.73</v>
      </c>
      <c r="V991" s="3">
        <v>57.5</v>
      </c>
      <c r="W991" s="3">
        <v>12.5</v>
      </c>
      <c r="X991" s="3">
        <v>62.5</v>
      </c>
      <c r="Y991" s="3">
        <v>33.86</v>
      </c>
      <c r="Z991" s="3">
        <v>79.74</v>
      </c>
      <c r="AA991" s="3">
        <v>37.02</v>
      </c>
      <c r="AB991" s="3">
        <v>41.56</v>
      </c>
      <c r="AC991" s="3">
        <v>59.95</v>
      </c>
      <c r="AD991" s="3">
        <v>91.9</v>
      </c>
      <c r="AE991" s="3">
        <v>314.18</v>
      </c>
      <c r="AF991" s="3">
        <v>25.0</v>
      </c>
      <c r="AG991" s="3">
        <v>930.99</v>
      </c>
      <c r="AH991" s="3">
        <v>99.0</v>
      </c>
      <c r="AI991" s="3">
        <v>358.0</v>
      </c>
      <c r="AJ991" s="3">
        <v>179.3</v>
      </c>
      <c r="AK991" s="3">
        <v>94.76</v>
      </c>
      <c r="AL991" s="3">
        <v>85.16</v>
      </c>
      <c r="AM991" s="3">
        <v>73.0</v>
      </c>
      <c r="AN991" s="3">
        <v>78.0</v>
      </c>
      <c r="AO991" s="3">
        <v>79.0</v>
      </c>
      <c r="AP991" s="3">
        <v>69.9</v>
      </c>
      <c r="AQ991" s="3">
        <v>147.1</v>
      </c>
      <c r="AR991" s="3">
        <v>66.7</v>
      </c>
      <c r="AS991" s="3">
        <v>340.0</v>
      </c>
      <c r="AT991" s="3">
        <v>218.21</v>
      </c>
      <c r="AU991" s="3">
        <v>9.9</v>
      </c>
      <c r="AV991" s="3">
        <v>63.9</v>
      </c>
      <c r="AW991" s="3">
        <v>42.06</v>
      </c>
      <c r="AX991" s="3">
        <v>58.0</v>
      </c>
    </row>
    <row r="992" ht="15.75" customHeight="1">
      <c r="A992" s="2" t="s">
        <v>70</v>
      </c>
      <c r="B992" s="3">
        <v>100.0</v>
      </c>
      <c r="D992" s="2" t="s">
        <v>111</v>
      </c>
      <c r="E992" s="3">
        <v>500.0</v>
      </c>
    </row>
    <row r="993" ht="15.75" customHeight="1">
      <c r="A993" s="2" t="s">
        <v>212</v>
      </c>
      <c r="B993" s="3">
        <v>44.99</v>
      </c>
      <c r="D993" s="2" t="s">
        <v>232</v>
      </c>
      <c r="E993" s="3">
        <v>165.0</v>
      </c>
      <c r="F993" s="3">
        <v>125.0</v>
      </c>
    </row>
    <row r="994" ht="15.75" customHeight="1">
      <c r="A994" s="2" t="s">
        <v>108</v>
      </c>
      <c r="B994" s="3">
        <v>50.0</v>
      </c>
      <c r="D994" s="2" t="s">
        <v>113</v>
      </c>
      <c r="E994" s="3">
        <v>621.25</v>
      </c>
    </row>
    <row r="995" ht="15.75" customHeight="1">
      <c r="A995" s="2" t="s">
        <v>88</v>
      </c>
      <c r="B995" s="3">
        <v>260.63</v>
      </c>
      <c r="D995" s="32" t="s">
        <v>233</v>
      </c>
      <c r="E995" s="3">
        <v>1351.54</v>
      </c>
    </row>
    <row r="996" ht="15.75" customHeight="1">
      <c r="A996" s="2" t="s">
        <v>109</v>
      </c>
      <c r="B996" s="3">
        <v>173.09</v>
      </c>
    </row>
    <row r="997" ht="15.75" customHeight="1">
      <c r="A997" s="2" t="s">
        <v>114</v>
      </c>
      <c r="B997" s="3">
        <v>280.0</v>
      </c>
      <c r="C997" s="3">
        <v>165.0</v>
      </c>
    </row>
    <row r="998" ht="15.75" customHeight="1">
      <c r="A998" s="2" t="s">
        <v>110</v>
      </c>
      <c r="B998" s="3">
        <v>580.29</v>
      </c>
    </row>
    <row r="999" ht="15.75" customHeight="1">
      <c r="A999" s="2" t="s">
        <v>1</v>
      </c>
      <c r="B999" s="2">
        <f>SUM(B991:BM998)</f>
        <v>10477.7</v>
      </c>
    </row>
    <row r="1000" ht="15.75" customHeight="1">
      <c r="A1000" s="1">
        <v>44562.0</v>
      </c>
      <c r="AZ1000" s="2" t="s">
        <v>234</v>
      </c>
    </row>
    <row r="1001" ht="15.75" customHeight="1">
      <c r="A1001" s="2" t="s">
        <v>46</v>
      </c>
      <c r="B1001" s="3">
        <v>119.45</v>
      </c>
      <c r="C1001" s="3">
        <v>247.64</v>
      </c>
      <c r="D1001" s="3">
        <v>264.89</v>
      </c>
      <c r="E1001" s="3">
        <v>100.85</v>
      </c>
      <c r="F1001" s="3">
        <v>31.99</v>
      </c>
      <c r="G1001" s="3">
        <v>254.57</v>
      </c>
      <c r="H1001" s="3">
        <v>27.1</v>
      </c>
      <c r="I1001" s="3">
        <v>62.81</v>
      </c>
      <c r="J1001" s="3">
        <v>56.75</v>
      </c>
      <c r="K1001" s="3">
        <v>10.09</v>
      </c>
      <c r="L1001" s="3">
        <v>76.38</v>
      </c>
      <c r="M1001" s="3">
        <v>64.06</v>
      </c>
      <c r="N1001" s="3">
        <v>58.0</v>
      </c>
      <c r="O1001" s="3">
        <v>217.5</v>
      </c>
      <c r="P1001" s="3">
        <v>57.5</v>
      </c>
      <c r="Q1001" s="3">
        <v>12.5</v>
      </c>
      <c r="R1001" s="3">
        <v>33.86</v>
      </c>
      <c r="S1001" s="3">
        <v>79.74</v>
      </c>
      <c r="T1001" s="3">
        <v>37.02</v>
      </c>
      <c r="U1001" s="3">
        <v>41.56</v>
      </c>
      <c r="V1001" s="3">
        <v>49.5</v>
      </c>
      <c r="W1001" s="3">
        <v>358.0</v>
      </c>
      <c r="X1001" s="3">
        <v>42.06</v>
      </c>
      <c r="Y1001" s="3">
        <v>83.4</v>
      </c>
      <c r="Z1001" s="3">
        <v>31.5</v>
      </c>
      <c r="AA1001" s="3">
        <v>12.39</v>
      </c>
      <c r="AB1001" s="3">
        <v>19.93</v>
      </c>
      <c r="AC1001" s="3">
        <v>18.8</v>
      </c>
      <c r="AD1001" s="3">
        <v>49.9</v>
      </c>
      <c r="AE1001" s="3">
        <v>69.85</v>
      </c>
      <c r="AF1001" s="3">
        <v>123.27</v>
      </c>
      <c r="AG1001" s="3">
        <v>57.5</v>
      </c>
      <c r="AH1001" s="3">
        <v>14.0</v>
      </c>
      <c r="AI1001" s="3">
        <v>150.0</v>
      </c>
      <c r="AJ1001" s="3">
        <v>49.86</v>
      </c>
      <c r="AK1001" s="3">
        <v>49.86</v>
      </c>
      <c r="AL1001" s="3">
        <v>65.5</v>
      </c>
      <c r="AM1001" s="3">
        <v>46.29</v>
      </c>
      <c r="AN1001" s="3">
        <v>199.1</v>
      </c>
      <c r="AO1001" s="3">
        <v>280.0</v>
      </c>
      <c r="AP1001" s="3">
        <v>90.7</v>
      </c>
      <c r="AQ1001" s="3">
        <v>94.6</v>
      </c>
      <c r="AR1001" s="3">
        <v>100.0</v>
      </c>
      <c r="AS1001" s="3">
        <v>136.3</v>
      </c>
      <c r="AT1001" s="3">
        <v>50.0</v>
      </c>
      <c r="AU1001" s="3">
        <v>16.98</v>
      </c>
      <c r="AV1001" s="3">
        <v>168.3</v>
      </c>
      <c r="AW1001" s="3">
        <v>95.0</v>
      </c>
      <c r="AX1001" s="3">
        <v>21.99</v>
      </c>
      <c r="AY1001" s="3">
        <v>54.9</v>
      </c>
      <c r="AZ1001" s="2">
        <v>40.0</v>
      </c>
    </row>
    <row r="1002" ht="15.75" customHeight="1">
      <c r="A1002" s="2" t="s">
        <v>115</v>
      </c>
      <c r="B1002" s="3">
        <v>150.29</v>
      </c>
      <c r="C1002" s="3">
        <v>49.6</v>
      </c>
      <c r="D1002" s="3">
        <v>46.0</v>
      </c>
      <c r="E1002" s="3">
        <v>115.96</v>
      </c>
      <c r="F1002" s="3">
        <v>285.0</v>
      </c>
    </row>
    <row r="1003" ht="15.75" customHeight="1">
      <c r="A1003" s="2" t="s">
        <v>70</v>
      </c>
      <c r="D1003" s="2" t="s">
        <v>232</v>
      </c>
      <c r="E1003" s="3">
        <v>122.0</v>
      </c>
    </row>
    <row r="1004" ht="15.75" customHeight="1">
      <c r="A1004" s="2" t="s">
        <v>108</v>
      </c>
      <c r="B1004" s="3">
        <v>50.0</v>
      </c>
      <c r="D1004" s="2" t="s">
        <v>113</v>
      </c>
      <c r="E1004" s="3">
        <v>621.25</v>
      </c>
      <c r="F1004" s="3"/>
    </row>
    <row r="1005" ht="15.75" customHeight="1">
      <c r="A1005" s="2" t="s">
        <v>212</v>
      </c>
      <c r="B1005" s="3">
        <v>44.99</v>
      </c>
      <c r="D1005" s="2" t="s">
        <v>114</v>
      </c>
      <c r="E1005" s="3">
        <v>280.0</v>
      </c>
      <c r="F1005" s="3"/>
    </row>
    <row r="1006" ht="15.75" customHeight="1">
      <c r="A1006" s="2" t="s">
        <v>88</v>
      </c>
      <c r="B1006" s="3">
        <v>354.18</v>
      </c>
      <c r="D1006" s="32" t="s">
        <v>233</v>
      </c>
      <c r="E1006" s="3">
        <v>357.07</v>
      </c>
    </row>
    <row r="1007" ht="15.75" customHeight="1">
      <c r="A1007" s="2" t="s">
        <v>109</v>
      </c>
      <c r="B1007" s="3">
        <v>173.11</v>
      </c>
    </row>
    <row r="1008" ht="15.75" customHeight="1">
      <c r="A1008" s="2" t="s">
        <v>111</v>
      </c>
      <c r="B1008" s="3">
        <v>500.0</v>
      </c>
    </row>
    <row r="1009" ht="15.75" customHeight="1">
      <c r="A1009" s="2" t="s">
        <v>235</v>
      </c>
      <c r="B1009" s="3">
        <v>200.0</v>
      </c>
    </row>
    <row r="1010" ht="15.75" customHeight="1">
      <c r="A1010" s="2" t="s">
        <v>236</v>
      </c>
      <c r="B1010" s="3">
        <v>45.0</v>
      </c>
    </row>
    <row r="1011" ht="15.75" customHeight="1">
      <c r="A1011" s="2" t="s">
        <v>1</v>
      </c>
      <c r="B1011" s="2">
        <f>SUM(B1001:ES1010)</f>
        <v>7888.19</v>
      </c>
    </row>
    <row r="1012" ht="15.75" customHeight="1">
      <c r="A1012" s="1">
        <v>44593.0</v>
      </c>
    </row>
    <row r="1013" ht="15.75" customHeight="1">
      <c r="A1013" s="2" t="s">
        <v>46</v>
      </c>
      <c r="B1013" s="3">
        <v>247.64</v>
      </c>
      <c r="C1013" s="3">
        <v>264.89</v>
      </c>
      <c r="D1013" s="3">
        <v>31.99</v>
      </c>
      <c r="E1013" s="3">
        <v>254.57</v>
      </c>
      <c r="F1013" s="3">
        <v>27.1</v>
      </c>
      <c r="G1013" s="3">
        <v>62.81</v>
      </c>
      <c r="H1013" s="3">
        <v>56.75</v>
      </c>
      <c r="I1013" s="3">
        <v>10.09</v>
      </c>
      <c r="J1013" s="3">
        <v>76.38</v>
      </c>
      <c r="K1013" s="3">
        <v>42.06</v>
      </c>
      <c r="L1013" s="3">
        <v>217.5</v>
      </c>
      <c r="M1013" s="3">
        <v>57.5</v>
      </c>
      <c r="N1013" s="3">
        <v>12.5</v>
      </c>
      <c r="O1013" s="3">
        <v>33.86</v>
      </c>
      <c r="Q1013" s="3">
        <v>79.74</v>
      </c>
      <c r="R1013" s="3">
        <v>37.02</v>
      </c>
      <c r="S1013" s="3">
        <v>358.0</v>
      </c>
      <c r="T1013" s="3">
        <v>58.0</v>
      </c>
      <c r="U1013" s="3">
        <v>69.85</v>
      </c>
      <c r="V1013" s="3">
        <v>49.86</v>
      </c>
      <c r="W1013" s="3">
        <v>46.29</v>
      </c>
      <c r="X1013" s="3">
        <v>40.0</v>
      </c>
    </row>
    <row r="1014" ht="15.75" customHeight="1">
      <c r="A1014" s="2" t="s">
        <v>115</v>
      </c>
      <c r="B1014" s="3">
        <v>150.29</v>
      </c>
      <c r="C1014" s="3">
        <v>49.6</v>
      </c>
      <c r="D1014" s="3">
        <v>46.0</v>
      </c>
      <c r="E1014" s="3">
        <v>115.96</v>
      </c>
      <c r="F1014" s="3">
        <v>57.44</v>
      </c>
      <c r="G1014" s="3">
        <v>30.69</v>
      </c>
      <c r="H1014" s="3">
        <v>107.75</v>
      </c>
      <c r="I1014" s="3">
        <v>30.0</v>
      </c>
      <c r="J1014" s="3">
        <v>136.75</v>
      </c>
      <c r="K1014" s="3">
        <v>252.45</v>
      </c>
      <c r="L1014" s="3">
        <v>7.0</v>
      </c>
      <c r="M1014" s="3">
        <v>249.78</v>
      </c>
      <c r="N1014" s="3">
        <v>161.63</v>
      </c>
      <c r="O1014" s="3">
        <v>42.0</v>
      </c>
      <c r="P1014" s="3">
        <v>33.0</v>
      </c>
      <c r="Q1014" s="3">
        <v>53.0</v>
      </c>
      <c r="R1014" s="3">
        <v>10.0</v>
      </c>
      <c r="S1014" s="3">
        <v>62.88</v>
      </c>
      <c r="T1014" s="3">
        <v>50.0</v>
      </c>
      <c r="U1014" s="3">
        <v>141.81</v>
      </c>
      <c r="V1014" s="3">
        <v>67.3</v>
      </c>
      <c r="W1014" s="3">
        <v>123.8</v>
      </c>
      <c r="X1014" s="3">
        <v>90.78</v>
      </c>
      <c r="Y1014" s="3">
        <v>36.99</v>
      </c>
      <c r="Z1014" s="3">
        <v>98.87</v>
      </c>
      <c r="AA1014" s="3">
        <v>55.0</v>
      </c>
      <c r="AB1014" s="3">
        <v>90.07</v>
      </c>
      <c r="AC1014" s="3">
        <v>67.31</v>
      </c>
      <c r="AD1014" s="3">
        <v>6.0</v>
      </c>
      <c r="AE1014" s="3">
        <v>5.0</v>
      </c>
      <c r="AF1014" s="3">
        <v>32.0</v>
      </c>
      <c r="AG1014" s="3">
        <v>72.0</v>
      </c>
      <c r="AH1014" s="3">
        <v>35.0</v>
      </c>
      <c r="AI1014" s="3">
        <v>29.36</v>
      </c>
      <c r="AJ1014" s="3">
        <v>33.19</v>
      </c>
      <c r="AK1014" s="3">
        <v>43.48</v>
      </c>
      <c r="AL1014" s="3">
        <v>93.45</v>
      </c>
      <c r="AM1014" s="3">
        <v>35.0</v>
      </c>
      <c r="AN1014" s="3">
        <v>104.28</v>
      </c>
      <c r="AO1014" s="3">
        <v>38.0</v>
      </c>
      <c r="AP1014" s="3">
        <v>42.0</v>
      </c>
      <c r="AQ1014" s="3">
        <v>99.99</v>
      </c>
      <c r="AR1014" s="3">
        <v>5.89</v>
      </c>
      <c r="AS1014" s="3">
        <v>340.0</v>
      </c>
      <c r="AT1014" s="3">
        <v>11.14</v>
      </c>
      <c r="AU1014" s="3">
        <v>104.4</v>
      </c>
      <c r="AV1014" s="3">
        <v>98.0</v>
      </c>
    </row>
    <row r="1015" ht="15.75" customHeight="1">
      <c r="A1015" s="2" t="s">
        <v>70</v>
      </c>
      <c r="B1015" s="3">
        <v>200.0</v>
      </c>
      <c r="D1015" s="2" t="s">
        <v>232</v>
      </c>
      <c r="E1015" s="3">
        <v>122.0</v>
      </c>
    </row>
    <row r="1016" ht="15.75" customHeight="1">
      <c r="A1016" s="2" t="s">
        <v>212</v>
      </c>
      <c r="B1016" s="3">
        <v>44.99</v>
      </c>
      <c r="D1016" s="2" t="s">
        <v>83</v>
      </c>
      <c r="E1016" s="3">
        <v>43.3</v>
      </c>
    </row>
    <row r="1017" ht="15.75" customHeight="1">
      <c r="A1017" s="2" t="s">
        <v>108</v>
      </c>
      <c r="B1017" s="3">
        <v>2450.0</v>
      </c>
    </row>
    <row r="1018" ht="15.75" customHeight="1">
      <c r="A1018" s="2" t="s">
        <v>88</v>
      </c>
      <c r="B1018" s="3">
        <v>457.57</v>
      </c>
    </row>
    <row r="1019" ht="15.75" customHeight="1">
      <c r="A1019" s="2" t="s">
        <v>109</v>
      </c>
      <c r="B1019" s="3">
        <v>91.24</v>
      </c>
    </row>
    <row r="1020" ht="15.75" customHeight="1">
      <c r="A1020" s="2" t="s">
        <v>113</v>
      </c>
      <c r="B1020" s="3">
        <v>621.25</v>
      </c>
    </row>
    <row r="1021" ht="15.75" customHeight="1">
      <c r="A1021" s="2" t="s">
        <v>114</v>
      </c>
      <c r="B1021" s="3">
        <v>280.0</v>
      </c>
    </row>
    <row r="1022" ht="15.75" customHeight="1">
      <c r="A1022" s="2" t="s">
        <v>111</v>
      </c>
      <c r="B1022" s="3">
        <v>500.0</v>
      </c>
    </row>
    <row r="1023" ht="15.75" customHeight="1">
      <c r="A1023" s="2" t="s">
        <v>1</v>
      </c>
      <c r="B1023" s="2">
        <f>SUM(B1013:CJ1022)</f>
        <v>10591.08</v>
      </c>
    </row>
    <row r="1024" ht="15.75" customHeight="1">
      <c r="A1024" s="1">
        <v>44621.0</v>
      </c>
    </row>
    <row r="1025" ht="15.75" customHeight="1">
      <c r="A1025" s="2" t="s">
        <v>120</v>
      </c>
      <c r="B1025" s="3">
        <v>247.64</v>
      </c>
      <c r="C1025" s="3">
        <v>264.89</v>
      </c>
      <c r="D1025" s="3">
        <v>31.99</v>
      </c>
      <c r="E1025" s="3">
        <v>254.57</v>
      </c>
      <c r="F1025" s="3">
        <v>27.1</v>
      </c>
      <c r="G1025" s="3">
        <v>62.81</v>
      </c>
      <c r="H1025" s="3">
        <v>56.75</v>
      </c>
      <c r="I1025" s="3">
        <v>10.09</v>
      </c>
      <c r="J1025" s="3">
        <v>76.38</v>
      </c>
      <c r="K1025" s="3">
        <v>42.06</v>
      </c>
      <c r="L1025" s="3">
        <v>217.5</v>
      </c>
      <c r="M1025" s="3">
        <v>57.5</v>
      </c>
      <c r="N1025" s="3">
        <v>12.5</v>
      </c>
      <c r="O1025" s="3">
        <v>33.86</v>
      </c>
      <c r="P1025" s="3">
        <v>78.74</v>
      </c>
      <c r="Q1025" s="3">
        <v>79.74</v>
      </c>
      <c r="R1025" s="3">
        <v>358.0</v>
      </c>
      <c r="S1025" s="3">
        <v>49.86</v>
      </c>
      <c r="T1025" s="3">
        <v>46.29</v>
      </c>
      <c r="U1025" s="3">
        <v>40.0</v>
      </c>
      <c r="V1025" s="3">
        <v>505.93</v>
      </c>
    </row>
    <row r="1026" ht="15.75" customHeight="1">
      <c r="A1026" s="2" t="s">
        <v>237</v>
      </c>
      <c r="B1026" s="3">
        <v>150.29</v>
      </c>
      <c r="C1026" s="3">
        <v>107.25</v>
      </c>
      <c r="D1026" s="3">
        <v>285.0</v>
      </c>
      <c r="E1026" s="3">
        <v>61.25</v>
      </c>
      <c r="F1026" s="3">
        <v>60.0</v>
      </c>
      <c r="G1026" s="3">
        <v>72.98</v>
      </c>
      <c r="H1026" s="3">
        <v>154.0</v>
      </c>
      <c r="I1026" s="3">
        <v>38.75</v>
      </c>
      <c r="J1026" s="3">
        <v>29.9</v>
      </c>
      <c r="K1026" s="3">
        <v>85.0</v>
      </c>
      <c r="L1026" s="3">
        <v>125.0</v>
      </c>
      <c r="M1026" s="3">
        <v>22.0</v>
      </c>
      <c r="N1026" s="3">
        <v>42.0</v>
      </c>
      <c r="O1026" s="3">
        <v>25.0</v>
      </c>
      <c r="P1026" s="3">
        <v>42.0</v>
      </c>
      <c r="Q1026" s="3">
        <v>317.62</v>
      </c>
      <c r="R1026" s="3">
        <v>76.42</v>
      </c>
      <c r="S1026" s="3">
        <v>118.2</v>
      </c>
      <c r="T1026" s="3">
        <v>64.56</v>
      </c>
      <c r="U1026" s="3">
        <v>64.45</v>
      </c>
      <c r="V1026" s="3">
        <v>214.5</v>
      </c>
      <c r="W1026" s="3">
        <v>40.0</v>
      </c>
      <c r="X1026" s="3">
        <v>10.8</v>
      </c>
      <c r="Y1026" s="3">
        <v>82.0</v>
      </c>
      <c r="Z1026" s="3">
        <v>30.5</v>
      </c>
      <c r="AA1026" s="3">
        <v>36.5</v>
      </c>
      <c r="AB1026" s="3">
        <v>101.0</v>
      </c>
      <c r="AC1026" s="3">
        <v>368.29</v>
      </c>
      <c r="AD1026" s="3">
        <v>22.9</v>
      </c>
      <c r="AE1026" s="3">
        <v>30.0</v>
      </c>
      <c r="AF1026" s="3">
        <v>12.0</v>
      </c>
      <c r="AG1026" s="3">
        <v>309.9</v>
      </c>
      <c r="AH1026" s="3">
        <v>282.1</v>
      </c>
      <c r="AI1026" s="3">
        <v>15.0</v>
      </c>
      <c r="AJ1026" s="3">
        <v>54.0</v>
      </c>
      <c r="AK1026" s="3">
        <v>161.0</v>
      </c>
      <c r="AL1026" s="3">
        <v>76.0</v>
      </c>
      <c r="AM1026" s="3">
        <v>15.0</v>
      </c>
      <c r="AN1026" s="3">
        <v>69.0</v>
      </c>
      <c r="AO1026" s="3">
        <v>114.85</v>
      </c>
      <c r="AP1026" s="3">
        <v>10.0</v>
      </c>
      <c r="AQ1026" s="3">
        <v>70.0</v>
      </c>
      <c r="AR1026" s="3">
        <v>120.0</v>
      </c>
      <c r="AS1026" s="3">
        <v>40.0</v>
      </c>
      <c r="AT1026" s="3">
        <v>300.08</v>
      </c>
      <c r="AU1026" s="3">
        <v>49.0</v>
      </c>
      <c r="AV1026" s="3">
        <v>24.37</v>
      </c>
      <c r="AW1026" s="3">
        <v>64.24</v>
      </c>
      <c r="AX1026" s="3">
        <v>59.62</v>
      </c>
      <c r="AY1026" s="3">
        <v>41.84</v>
      </c>
      <c r="AZ1026" s="3">
        <v>24.8</v>
      </c>
      <c r="BA1026" s="3">
        <v>120.0</v>
      </c>
      <c r="BB1026" s="3">
        <v>89.83</v>
      </c>
      <c r="BC1026" s="3">
        <v>106.9</v>
      </c>
      <c r="BD1026" s="3">
        <v>122.53</v>
      </c>
      <c r="BE1026" s="3">
        <v>18.99</v>
      </c>
      <c r="BF1026" s="3">
        <v>87.13</v>
      </c>
      <c r="BG1026" s="3">
        <v>35.88</v>
      </c>
      <c r="BH1026" s="3">
        <v>56.87</v>
      </c>
      <c r="BI1026" s="3">
        <v>23.99</v>
      </c>
      <c r="BJ1026" s="3">
        <v>297.0</v>
      </c>
      <c r="BK1026" s="3">
        <v>220.0</v>
      </c>
      <c r="BL1026" s="3">
        <v>69.55</v>
      </c>
      <c r="BM1026" s="3">
        <v>39.1</v>
      </c>
      <c r="BN1026" s="3">
        <v>26.0</v>
      </c>
    </row>
    <row r="1027" ht="15.75" customHeight="1">
      <c r="A1027" s="2" t="s">
        <v>70</v>
      </c>
      <c r="B1027" s="3">
        <v>200.0</v>
      </c>
    </row>
    <row r="1028" ht="15.75" customHeight="1">
      <c r="A1028" s="2" t="s">
        <v>212</v>
      </c>
      <c r="B1028" s="3">
        <v>49.99</v>
      </c>
    </row>
    <row r="1029" ht="15.75" customHeight="1">
      <c r="A1029" s="2" t="s">
        <v>108</v>
      </c>
      <c r="B1029" s="3">
        <v>450.0</v>
      </c>
    </row>
    <row r="1030" ht="15.75" customHeight="1">
      <c r="A1030" s="2" t="s">
        <v>88</v>
      </c>
      <c r="B1030" s="3">
        <v>482.84</v>
      </c>
    </row>
    <row r="1031" ht="15.75" customHeight="1">
      <c r="A1031" s="2" t="s">
        <v>109</v>
      </c>
      <c r="B1031" s="3">
        <v>91.24</v>
      </c>
    </row>
    <row r="1032" ht="15.75" customHeight="1">
      <c r="A1032" s="2" t="s">
        <v>111</v>
      </c>
      <c r="B1032" s="3">
        <v>500.0</v>
      </c>
    </row>
    <row r="1033" ht="15.75" customHeight="1">
      <c r="A1033" s="2" t="s">
        <v>83</v>
      </c>
      <c r="B1033" s="3">
        <v>43.3</v>
      </c>
    </row>
    <row r="1034" ht="15.75" customHeight="1">
      <c r="A1034" s="2" t="s">
        <v>232</v>
      </c>
      <c r="B1034" s="3">
        <v>140.0</v>
      </c>
    </row>
    <row r="1035" ht="15.75" customHeight="1"/>
    <row r="1036" ht="15.75" customHeight="1">
      <c r="A1036" s="2" t="s">
        <v>1</v>
      </c>
      <c r="B1036" s="2">
        <f>SUM(B1025:JJ1035)</f>
        <v>10616.3</v>
      </c>
    </row>
    <row r="1037" ht="15.75" customHeight="1">
      <c r="A1037" s="1">
        <v>44652.0</v>
      </c>
    </row>
    <row r="1038" ht="15.75" customHeight="1">
      <c r="A1038" s="2" t="s">
        <v>120</v>
      </c>
      <c r="B1038" s="3">
        <v>264.89</v>
      </c>
      <c r="C1038" s="3">
        <v>31.98</v>
      </c>
      <c r="D1038" s="3">
        <v>254.57</v>
      </c>
      <c r="E1038" s="3">
        <v>27.1</v>
      </c>
      <c r="F1038" s="3">
        <v>62.81</v>
      </c>
      <c r="G1038" s="3">
        <v>56.75</v>
      </c>
      <c r="H1038" s="3">
        <v>76.38</v>
      </c>
      <c r="I1038" s="3">
        <v>42.06</v>
      </c>
      <c r="J1038" s="3">
        <v>217.5</v>
      </c>
      <c r="K1038" s="3">
        <v>57.5</v>
      </c>
      <c r="L1038" s="3">
        <v>12.5</v>
      </c>
      <c r="M1038" s="3">
        <v>505.93</v>
      </c>
      <c r="N1038" s="3">
        <v>79.74</v>
      </c>
      <c r="O1038" s="3">
        <v>49.86</v>
      </c>
      <c r="P1038" s="3">
        <v>40.0</v>
      </c>
    </row>
    <row r="1039" ht="15.75" customHeight="1">
      <c r="A1039" s="2" t="s">
        <v>237</v>
      </c>
      <c r="B1039" s="3">
        <v>150.29</v>
      </c>
      <c r="C1039" s="3">
        <v>107.25</v>
      </c>
      <c r="D1039" s="3">
        <v>295.0</v>
      </c>
      <c r="E1039" s="3">
        <v>64.23</v>
      </c>
      <c r="F1039" s="3">
        <v>59.62</v>
      </c>
      <c r="G1039" s="3">
        <v>49.8</v>
      </c>
      <c r="H1039" s="3">
        <v>74.54</v>
      </c>
      <c r="I1039" s="3">
        <v>65.0</v>
      </c>
      <c r="J1039" s="3">
        <v>24.0</v>
      </c>
      <c r="K1039" s="3">
        <v>50.0</v>
      </c>
      <c r="L1039" s="3">
        <v>88.0</v>
      </c>
      <c r="M1039" s="3">
        <v>323.89</v>
      </c>
      <c r="N1039" s="3">
        <v>45.0</v>
      </c>
      <c r="O1039" s="3">
        <v>50.0</v>
      </c>
      <c r="P1039" s="3">
        <v>60.0</v>
      </c>
      <c r="Q1039" s="3">
        <v>49.0</v>
      </c>
      <c r="R1039" s="3">
        <v>25.0</v>
      </c>
      <c r="S1039" s="3">
        <v>40.38</v>
      </c>
      <c r="T1039" s="3">
        <v>259.93</v>
      </c>
      <c r="U1039" s="3">
        <v>220.0</v>
      </c>
      <c r="V1039" s="3">
        <v>9.4</v>
      </c>
      <c r="W1039" s="3">
        <v>73.48</v>
      </c>
      <c r="X1039" s="3">
        <v>117.0</v>
      </c>
      <c r="Y1039" s="3">
        <v>15.99</v>
      </c>
      <c r="Z1039" s="3">
        <v>235.0</v>
      </c>
      <c r="AA1039" s="3">
        <v>30.0</v>
      </c>
      <c r="AB1039" s="3">
        <v>65.0</v>
      </c>
      <c r="AC1039" s="3">
        <v>31.0</v>
      </c>
      <c r="AD1039" s="3">
        <v>105.0</v>
      </c>
      <c r="AE1039" s="3">
        <v>69.9</v>
      </c>
      <c r="AF1039" s="3">
        <v>274.67</v>
      </c>
      <c r="AG1039" s="3">
        <v>25.0</v>
      </c>
      <c r="AH1039" s="3">
        <v>28.0</v>
      </c>
      <c r="AI1039" s="3">
        <v>30.0</v>
      </c>
      <c r="AJ1039" s="3">
        <v>25.0</v>
      </c>
      <c r="AK1039" s="3">
        <v>20.0</v>
      </c>
      <c r="AL1039" s="3">
        <v>39.0</v>
      </c>
      <c r="AM1039" s="3">
        <v>51.0</v>
      </c>
      <c r="AN1039" s="3">
        <v>46.38</v>
      </c>
      <c r="AO1039" s="3">
        <v>134.4</v>
      </c>
      <c r="AP1039" s="3">
        <v>63.8</v>
      </c>
      <c r="AQ1039" s="3">
        <v>220.0</v>
      </c>
      <c r="AR1039" s="3">
        <v>54.5</v>
      </c>
      <c r="AS1039" s="3">
        <v>17.35</v>
      </c>
      <c r="AT1039" s="3">
        <v>40.0</v>
      </c>
      <c r="AU1039" s="3">
        <v>19.0</v>
      </c>
      <c r="AV1039" s="3">
        <v>37.0</v>
      </c>
      <c r="AW1039" s="3">
        <v>134.15</v>
      </c>
      <c r="AX1039" s="3">
        <v>19.0</v>
      </c>
      <c r="AY1039" s="3">
        <v>24.5</v>
      </c>
      <c r="AZ1039" s="3">
        <v>97.5</v>
      </c>
      <c r="BA1039" s="3">
        <v>12.0</v>
      </c>
      <c r="BB1039" s="3">
        <v>81.0</v>
      </c>
      <c r="BC1039" s="3">
        <v>42.0</v>
      </c>
      <c r="BD1039" s="3">
        <v>85.0</v>
      </c>
      <c r="BE1039" s="3">
        <v>82.0</v>
      </c>
      <c r="BF1039" s="3">
        <v>61.3</v>
      </c>
      <c r="BG1039" s="3">
        <v>39.9</v>
      </c>
      <c r="BH1039" s="3">
        <v>4.9</v>
      </c>
      <c r="BI1039" s="3">
        <v>79.34</v>
      </c>
      <c r="BJ1039" s="3">
        <v>120.0</v>
      </c>
      <c r="BK1039" s="3">
        <v>23.0</v>
      </c>
      <c r="BL1039" s="3">
        <v>111.0</v>
      </c>
      <c r="BM1039" s="3">
        <v>68.59</v>
      </c>
      <c r="BN1039" s="3">
        <v>42.8</v>
      </c>
      <c r="BO1039" s="3">
        <v>102.86</v>
      </c>
      <c r="BP1039" s="3">
        <v>13.0</v>
      </c>
      <c r="BQ1039" s="3">
        <v>134.2</v>
      </c>
      <c r="BR1039" s="3">
        <v>2.8</v>
      </c>
      <c r="BS1039" s="3">
        <v>29.0</v>
      </c>
      <c r="BT1039" s="3">
        <v>152.72</v>
      </c>
      <c r="BU1039" s="3">
        <v>31.25</v>
      </c>
      <c r="BV1039" s="3">
        <v>45.0</v>
      </c>
      <c r="BW1039" s="3">
        <v>87.5</v>
      </c>
      <c r="BX1039" s="3">
        <v>23.0</v>
      </c>
      <c r="BY1039" s="3">
        <v>142.56</v>
      </c>
      <c r="BZ1039" s="3">
        <v>180.0</v>
      </c>
      <c r="CA1039" s="3">
        <v>16.0</v>
      </c>
      <c r="CB1039" s="3">
        <v>129.69</v>
      </c>
      <c r="CC1039" s="3">
        <v>98.89</v>
      </c>
      <c r="CD1039" s="3">
        <v>12.0</v>
      </c>
      <c r="CE1039" s="3">
        <v>37.0</v>
      </c>
      <c r="CF1039" s="3">
        <v>22.0</v>
      </c>
      <c r="CG1039" s="3">
        <v>47.0</v>
      </c>
      <c r="CH1039" s="3">
        <v>28.66</v>
      </c>
      <c r="CI1039" s="3">
        <v>75.0</v>
      </c>
      <c r="CJ1039" s="3">
        <v>30.0</v>
      </c>
      <c r="CK1039" s="3">
        <v>24.33</v>
      </c>
      <c r="CL1039" s="3">
        <v>59.4</v>
      </c>
      <c r="CM1039" s="3">
        <v>28.98</v>
      </c>
      <c r="CN1039" s="3">
        <v>34.5</v>
      </c>
      <c r="CO1039" s="3">
        <v>59.0</v>
      </c>
      <c r="CP1039" s="3">
        <v>39.9</v>
      </c>
      <c r="CQ1039" s="3">
        <v>34.9</v>
      </c>
      <c r="CR1039" s="3">
        <v>64.0</v>
      </c>
      <c r="CS1039" s="3">
        <v>42.0</v>
      </c>
      <c r="CT1039" s="3">
        <v>12.0</v>
      </c>
      <c r="CU1039" s="3">
        <v>22.66</v>
      </c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I1039" s="3"/>
    </row>
    <row r="1040" ht="15.75" customHeight="1">
      <c r="A1040" s="2" t="s">
        <v>70</v>
      </c>
      <c r="B1040" s="3">
        <v>100.0</v>
      </c>
      <c r="D1040" s="2" t="s">
        <v>232</v>
      </c>
      <c r="E1040" s="3">
        <v>140.0</v>
      </c>
    </row>
    <row r="1041" ht="15.75" customHeight="1">
      <c r="A1041" s="2" t="s">
        <v>212</v>
      </c>
      <c r="B1041" s="3">
        <v>49.99</v>
      </c>
      <c r="D1041" s="2" t="s">
        <v>238</v>
      </c>
      <c r="E1041" s="3">
        <v>297.0</v>
      </c>
    </row>
    <row r="1042" ht="15.75" customHeight="1">
      <c r="A1042" s="2" t="s">
        <v>108</v>
      </c>
      <c r="B1042" s="3">
        <v>50.0</v>
      </c>
    </row>
    <row r="1043" ht="15.75" customHeight="1">
      <c r="A1043" s="2" t="s">
        <v>88</v>
      </c>
      <c r="B1043" s="3">
        <v>466.0</v>
      </c>
    </row>
    <row r="1044" ht="15.75" customHeight="1">
      <c r="A1044" s="2" t="s">
        <v>109</v>
      </c>
      <c r="B1044" s="3">
        <v>77.94</v>
      </c>
    </row>
    <row r="1045" ht="15.75" customHeight="1">
      <c r="A1045" s="2" t="s">
        <v>111</v>
      </c>
      <c r="B1045" s="3">
        <v>500.0</v>
      </c>
    </row>
    <row r="1046" ht="15.75" customHeight="1">
      <c r="A1046" s="2" t="s">
        <v>83</v>
      </c>
      <c r="B1046" s="3">
        <v>43.3</v>
      </c>
    </row>
    <row r="1047" ht="15.75" customHeight="1"/>
    <row r="1048" ht="15.75" customHeight="1">
      <c r="A1048" s="2" t="s">
        <v>1</v>
      </c>
      <c r="B1048" s="2">
        <f>SUM(B1038:NQ1047)</f>
        <v>10471.38</v>
      </c>
    </row>
    <row r="1049" ht="15.75" customHeight="1">
      <c r="A1049" s="1">
        <v>44682.0</v>
      </c>
    </row>
    <row r="1050" ht="15.75" customHeight="1">
      <c r="A1050" s="2" t="s">
        <v>120</v>
      </c>
      <c r="B1050" s="3">
        <v>31.98</v>
      </c>
      <c r="C1050" s="3">
        <v>254.57</v>
      </c>
      <c r="D1050" s="3">
        <v>27.1</v>
      </c>
      <c r="E1050" s="3">
        <v>62.81</v>
      </c>
      <c r="F1050" s="3">
        <v>51.64</v>
      </c>
      <c r="G1050" s="3">
        <v>76.38</v>
      </c>
      <c r="H1050" s="3">
        <v>505.93</v>
      </c>
      <c r="I1050" s="3">
        <v>42.06</v>
      </c>
      <c r="J1050" s="3">
        <v>217.5</v>
      </c>
      <c r="K1050" s="3">
        <v>40.0</v>
      </c>
      <c r="L1050" s="3">
        <v>59.99</v>
      </c>
      <c r="M1050" s="3">
        <v>47.89</v>
      </c>
    </row>
    <row r="1051" ht="15.75" customHeight="1">
      <c r="A1051" s="2" t="s">
        <v>237</v>
      </c>
      <c r="B1051" s="3">
        <v>150.29</v>
      </c>
      <c r="C1051" s="3">
        <v>48.0</v>
      </c>
      <c r="D1051" s="3">
        <v>59.63</v>
      </c>
      <c r="E1051" s="3">
        <v>859.8</v>
      </c>
      <c r="F1051" s="3">
        <v>74.73</v>
      </c>
      <c r="G1051" s="3">
        <v>97.5</v>
      </c>
      <c r="H1051" s="3">
        <v>79.33</v>
      </c>
      <c r="I1051" s="3">
        <v>68.59</v>
      </c>
      <c r="J1051" s="3">
        <v>100.0</v>
      </c>
      <c r="K1051" s="3">
        <v>48.0</v>
      </c>
      <c r="L1051" s="3">
        <v>22.0</v>
      </c>
      <c r="M1051" s="3">
        <v>360.0</v>
      </c>
      <c r="N1051" s="3">
        <v>47.76</v>
      </c>
      <c r="O1051" s="3">
        <v>149.8</v>
      </c>
      <c r="P1051" s="3">
        <v>93.61</v>
      </c>
      <c r="Q1051" s="3">
        <v>57.95</v>
      </c>
      <c r="R1051" s="3">
        <v>202.93</v>
      </c>
      <c r="S1051" s="3">
        <v>267.94</v>
      </c>
      <c r="T1051" s="3">
        <v>31.0</v>
      </c>
      <c r="U1051" s="3">
        <v>44.0</v>
      </c>
      <c r="V1051" s="3">
        <v>47.0</v>
      </c>
      <c r="W1051" s="3">
        <v>30.0</v>
      </c>
      <c r="X1051" s="3">
        <v>49.89</v>
      </c>
      <c r="Y1051" s="3">
        <v>146.0</v>
      </c>
      <c r="Z1051" s="3">
        <v>26.0</v>
      </c>
      <c r="AA1051" s="3">
        <v>42.0</v>
      </c>
      <c r="AB1051" s="3">
        <v>36.0</v>
      </c>
      <c r="AC1051" s="3">
        <v>5.0</v>
      </c>
      <c r="AD1051" s="3">
        <v>36.0</v>
      </c>
      <c r="AE1051" s="3">
        <v>44.0</v>
      </c>
      <c r="AF1051" s="3">
        <v>41.0</v>
      </c>
      <c r="AG1051" s="3">
        <v>38.04</v>
      </c>
      <c r="AH1051" s="3">
        <v>6.0</v>
      </c>
      <c r="AI1051" s="3">
        <v>13.36</v>
      </c>
      <c r="AJ1051" s="3">
        <v>99.44</v>
      </c>
      <c r="AK1051" s="3">
        <v>85.4</v>
      </c>
      <c r="AL1051" s="3">
        <v>16.0</v>
      </c>
      <c r="AM1051" s="3">
        <v>100.0</v>
      </c>
      <c r="AN1051" s="3">
        <v>7.61</v>
      </c>
      <c r="AO1051" s="3">
        <v>55.0</v>
      </c>
      <c r="AP1051" s="3">
        <v>161.75</v>
      </c>
      <c r="AQ1051" s="3">
        <v>76.11</v>
      </c>
      <c r="AR1051" s="3">
        <v>231.6</v>
      </c>
      <c r="AS1051" s="3">
        <v>139.26</v>
      </c>
      <c r="AT1051" s="3">
        <v>16.0</v>
      </c>
      <c r="AU1051" s="3">
        <v>38.0</v>
      </c>
      <c r="AV1051" s="3">
        <v>55.0</v>
      </c>
      <c r="AW1051" s="3">
        <v>55.0</v>
      </c>
      <c r="AX1051" s="3">
        <v>40.0</v>
      </c>
      <c r="AY1051" s="3">
        <v>35.5</v>
      </c>
      <c r="AZ1051" s="3">
        <v>134.94</v>
      </c>
    </row>
    <row r="1052" ht="15.75" customHeight="1">
      <c r="A1052" s="2" t="s">
        <v>70</v>
      </c>
      <c r="B1052" s="3">
        <v>200.0</v>
      </c>
      <c r="D1052" s="2" t="s">
        <v>232</v>
      </c>
      <c r="E1052" s="3">
        <v>190.0</v>
      </c>
    </row>
    <row r="1053" ht="15.75" customHeight="1">
      <c r="A1053" s="2" t="s">
        <v>212</v>
      </c>
      <c r="B1053" s="3">
        <v>49.99</v>
      </c>
    </row>
    <row r="1054" ht="15.75" customHeight="1">
      <c r="A1054" s="2" t="s">
        <v>108</v>
      </c>
      <c r="B1054" s="3">
        <v>50.0</v>
      </c>
    </row>
    <row r="1055" ht="15.75" customHeight="1">
      <c r="A1055" s="2" t="s">
        <v>88</v>
      </c>
      <c r="B1055" s="3">
        <v>281.84</v>
      </c>
    </row>
    <row r="1056" ht="15.75" customHeight="1">
      <c r="A1056" s="2" t="s">
        <v>109</v>
      </c>
      <c r="B1056" s="3">
        <v>71.29</v>
      </c>
    </row>
    <row r="1057" ht="15.75" customHeight="1">
      <c r="A1057" s="2" t="s">
        <v>83</v>
      </c>
      <c r="B1057" s="3">
        <v>43.3</v>
      </c>
    </row>
    <row r="1058" ht="15.75" customHeight="1"/>
    <row r="1059" ht="15.75" customHeight="1"/>
    <row r="1060" ht="15.75" customHeight="1">
      <c r="A1060" s="2" t="s">
        <v>1</v>
      </c>
      <c r="B1060" s="2">
        <f>SUM(B1050:GF1059)</f>
        <v>7074.03</v>
      </c>
    </row>
    <row r="1061" ht="15.75" customHeight="1">
      <c r="A1061" s="1">
        <v>44713.0</v>
      </c>
    </row>
    <row r="1062" ht="15.75" customHeight="1">
      <c r="A1062" s="2" t="s">
        <v>120</v>
      </c>
      <c r="B1062" s="3">
        <v>84.8</v>
      </c>
      <c r="C1062" s="3">
        <v>254.57</v>
      </c>
      <c r="D1062" s="3">
        <v>27.1</v>
      </c>
      <c r="E1062" s="3">
        <v>62.81</v>
      </c>
      <c r="F1062" s="3">
        <v>51.64</v>
      </c>
      <c r="G1062" s="3">
        <v>76.38</v>
      </c>
      <c r="H1062" s="3">
        <v>505.93</v>
      </c>
      <c r="I1062" s="3">
        <v>42.06</v>
      </c>
      <c r="J1062" s="3">
        <v>217.5</v>
      </c>
      <c r="K1062" s="3">
        <v>40.0</v>
      </c>
      <c r="L1062" s="3">
        <v>295.0</v>
      </c>
      <c r="M1062" s="3">
        <v>44.02</v>
      </c>
      <c r="N1062" s="3">
        <v>50.0</v>
      </c>
      <c r="O1062" s="3">
        <v>220.0</v>
      </c>
    </row>
    <row r="1063" ht="15.75" customHeight="1">
      <c r="A1063" s="2" t="s">
        <v>237</v>
      </c>
      <c r="B1063" s="3">
        <v>42.0</v>
      </c>
      <c r="C1063" s="3">
        <v>4.0</v>
      </c>
      <c r="D1063" s="3">
        <v>859.8</v>
      </c>
      <c r="E1063" s="3">
        <v>74.53</v>
      </c>
      <c r="F1063" s="3">
        <v>79.33</v>
      </c>
      <c r="G1063" s="3">
        <v>57.93</v>
      </c>
      <c r="H1063" s="3">
        <v>4.0</v>
      </c>
      <c r="I1063" s="3">
        <v>89.76</v>
      </c>
      <c r="J1063" s="3">
        <v>86.52</v>
      </c>
      <c r="K1063" s="3">
        <v>63.71</v>
      </c>
      <c r="L1063" s="3">
        <v>20.0</v>
      </c>
      <c r="M1063" s="3">
        <v>17.0</v>
      </c>
      <c r="N1063" s="3">
        <v>60.0</v>
      </c>
      <c r="O1063" s="3">
        <v>39.0</v>
      </c>
      <c r="P1063" s="3">
        <v>120.0</v>
      </c>
      <c r="Q1063" s="3">
        <v>22.0</v>
      </c>
      <c r="R1063" s="3">
        <v>60.0</v>
      </c>
      <c r="S1063" s="3">
        <v>68.5</v>
      </c>
      <c r="T1063" s="3">
        <v>29.46</v>
      </c>
      <c r="U1063" s="3">
        <v>49.0</v>
      </c>
      <c r="V1063" s="3">
        <v>7.0</v>
      </c>
      <c r="W1063" s="3">
        <v>37.0</v>
      </c>
      <c r="X1063" s="3">
        <v>61.0</v>
      </c>
      <c r="Y1063" s="3">
        <v>66.38</v>
      </c>
      <c r="Z1063" s="3">
        <v>101.4</v>
      </c>
      <c r="AA1063" s="3">
        <v>85.0</v>
      </c>
      <c r="AB1063" s="3">
        <v>287.19</v>
      </c>
      <c r="AC1063" s="3">
        <v>34.7</v>
      </c>
      <c r="AD1063" s="3">
        <v>102.36</v>
      </c>
      <c r="AE1063" s="3">
        <v>167.0</v>
      </c>
      <c r="AF1063" s="3">
        <v>104.5</v>
      </c>
      <c r="AG1063" s="3">
        <v>53.74</v>
      </c>
      <c r="AH1063" s="3">
        <v>3.11</v>
      </c>
      <c r="AI1063" s="3">
        <v>251.9</v>
      </c>
      <c r="AJ1063" s="3">
        <v>20.86</v>
      </c>
      <c r="AK1063" s="3">
        <v>70.94</v>
      </c>
      <c r="AL1063" s="3">
        <v>7.5</v>
      </c>
      <c r="AM1063" s="3">
        <v>100.0</v>
      </c>
      <c r="AN1063" s="3">
        <v>150.0</v>
      </c>
      <c r="AO1063" s="3">
        <v>70.0</v>
      </c>
      <c r="AP1063" s="3">
        <v>262.02</v>
      </c>
      <c r="AQ1063" s="3">
        <v>20.0</v>
      </c>
      <c r="AR1063" s="3">
        <v>6.0</v>
      </c>
      <c r="AS1063" s="3">
        <v>36.0</v>
      </c>
      <c r="AT1063" s="3">
        <v>114.66</v>
      </c>
      <c r="AU1063" s="3">
        <v>24.0</v>
      </c>
      <c r="AV1063" s="3">
        <v>13.0</v>
      </c>
      <c r="AW1063" s="3">
        <v>22.0</v>
      </c>
      <c r="AX1063" s="3">
        <v>25.0</v>
      </c>
      <c r="AY1063" s="3">
        <v>53.0</v>
      </c>
      <c r="AZ1063" s="3">
        <v>12.0</v>
      </c>
      <c r="BA1063" s="3">
        <v>50.5</v>
      </c>
      <c r="BB1063" s="3">
        <v>60.0</v>
      </c>
      <c r="BC1063" s="3">
        <v>70.0</v>
      </c>
      <c r="BD1063" s="3">
        <v>16.0</v>
      </c>
      <c r="BE1063" s="3">
        <v>51.0</v>
      </c>
      <c r="BF1063" s="3">
        <v>90.0</v>
      </c>
      <c r="BG1063" s="3">
        <v>12.0</v>
      </c>
      <c r="BH1063" s="3">
        <v>42.0</v>
      </c>
      <c r="BI1063" s="3">
        <v>38.0</v>
      </c>
      <c r="BJ1063" s="3">
        <v>41.5</v>
      </c>
      <c r="BK1063" s="3">
        <v>60.0</v>
      </c>
      <c r="BL1063" s="3">
        <v>26.96</v>
      </c>
      <c r="BM1063" s="3">
        <v>127.6</v>
      </c>
      <c r="BN1063" s="3">
        <v>61.12</v>
      </c>
      <c r="BO1063" s="3">
        <v>53.2</v>
      </c>
      <c r="BP1063" s="3">
        <v>17.65</v>
      </c>
      <c r="BQ1063" s="3">
        <v>57.69</v>
      </c>
      <c r="BR1063" s="3">
        <v>12.0</v>
      </c>
      <c r="BS1063" s="3">
        <v>55.0</v>
      </c>
      <c r="BT1063" s="3">
        <v>5.0</v>
      </c>
      <c r="BU1063" s="3">
        <v>32.0</v>
      </c>
      <c r="BV1063" s="3">
        <v>55.0</v>
      </c>
      <c r="BW1063" s="3">
        <v>57.0</v>
      </c>
      <c r="BX1063" s="3">
        <v>5.57</v>
      </c>
      <c r="BY1063" s="3">
        <v>30.25</v>
      </c>
      <c r="BZ1063" s="3">
        <v>6.99</v>
      </c>
      <c r="CA1063" s="3">
        <v>56.98</v>
      </c>
      <c r="CB1063" s="3">
        <v>23.75</v>
      </c>
      <c r="CC1063" s="3">
        <v>49.0</v>
      </c>
      <c r="CD1063" s="3">
        <v>15.0</v>
      </c>
    </row>
    <row r="1064" ht="15.75" customHeight="1">
      <c r="A1064" s="2" t="s">
        <v>212</v>
      </c>
      <c r="B1064" s="3">
        <v>49.99</v>
      </c>
    </row>
    <row r="1065" ht="15.75" customHeight="1">
      <c r="A1065" s="2" t="s">
        <v>108</v>
      </c>
      <c r="B1065" s="3">
        <v>50.0</v>
      </c>
    </row>
    <row r="1066" ht="15.75" customHeight="1">
      <c r="A1066" s="2" t="s">
        <v>88</v>
      </c>
      <c r="B1066" s="3">
        <v>266.32</v>
      </c>
    </row>
    <row r="1067" ht="15.75" customHeight="1">
      <c r="A1067" s="2" t="s">
        <v>109</v>
      </c>
      <c r="B1067" s="3">
        <v>77.94</v>
      </c>
    </row>
    <row r="1068" ht="15.75" customHeight="1">
      <c r="A1068" s="2" t="s">
        <v>83</v>
      </c>
      <c r="B1068" s="3">
        <v>43.3</v>
      </c>
    </row>
    <row r="1069" ht="15.75" customHeight="1">
      <c r="A1069" s="2" t="s">
        <v>70</v>
      </c>
      <c r="B1069" s="3">
        <v>100.0</v>
      </c>
    </row>
    <row r="1070" ht="15.75" customHeight="1">
      <c r="A1070" s="2" t="s">
        <v>232</v>
      </c>
      <c r="B1070" s="3">
        <v>120.0</v>
      </c>
    </row>
    <row r="1071" ht="15.75" customHeight="1">
      <c r="A1071" s="2" t="s">
        <v>1</v>
      </c>
      <c r="B1071" s="2">
        <f>SUM(B1062:HF1070)</f>
        <v>8173.92</v>
      </c>
    </row>
    <row r="1072" ht="15.75" customHeight="1">
      <c r="A1072" s="1">
        <v>44743.0</v>
      </c>
    </row>
    <row r="1073" ht="15.75" customHeight="1">
      <c r="A1073" s="2" t="s">
        <v>120</v>
      </c>
      <c r="B1073" s="3">
        <v>62.81</v>
      </c>
      <c r="C1073" s="3">
        <v>51.64</v>
      </c>
      <c r="D1073" s="3">
        <v>76.38</v>
      </c>
      <c r="E1073" s="3">
        <v>505.93</v>
      </c>
      <c r="F1073" s="3">
        <v>42.06</v>
      </c>
      <c r="G1073" s="3">
        <v>44.02</v>
      </c>
      <c r="H1073" s="3">
        <v>220.0</v>
      </c>
      <c r="I1073" s="3">
        <v>295.0</v>
      </c>
      <c r="J1073" s="3">
        <v>59.0</v>
      </c>
      <c r="K1073" s="3">
        <v>29.28</v>
      </c>
      <c r="L1073" s="3">
        <v>40.05</v>
      </c>
      <c r="M1073" s="3">
        <v>53.25</v>
      </c>
    </row>
    <row r="1074" ht="15.75" customHeight="1">
      <c r="A1074" s="2" t="s">
        <v>237</v>
      </c>
      <c r="B1074" s="3">
        <v>48.8</v>
      </c>
      <c r="C1074" s="3">
        <v>859.8</v>
      </c>
      <c r="D1074" s="3">
        <v>57.95</v>
      </c>
      <c r="E1074" s="3">
        <v>104.5</v>
      </c>
      <c r="F1074" s="3">
        <v>53.2</v>
      </c>
      <c r="G1074" s="3">
        <v>99.89</v>
      </c>
      <c r="H1074" s="3">
        <v>44.99</v>
      </c>
      <c r="I1074" s="3">
        <v>118.76</v>
      </c>
      <c r="J1074" s="3">
        <v>47.76</v>
      </c>
      <c r="K1074" s="3">
        <v>40.02</v>
      </c>
      <c r="L1074" s="3">
        <v>80.15</v>
      </c>
      <c r="M1074" s="3">
        <v>11.0</v>
      </c>
      <c r="N1074" s="3">
        <v>149.9</v>
      </c>
      <c r="O1074" s="3">
        <v>21.99</v>
      </c>
      <c r="P1074" s="3">
        <v>79.9</v>
      </c>
      <c r="Q1074" s="3">
        <v>298.41</v>
      </c>
      <c r="R1074" s="3">
        <v>60.45</v>
      </c>
      <c r="S1074" s="3">
        <v>35.0</v>
      </c>
      <c r="T1074" s="3">
        <v>49.95</v>
      </c>
      <c r="U1074" s="3">
        <v>42.61</v>
      </c>
      <c r="V1074" s="3">
        <v>145.68</v>
      </c>
      <c r="W1074" s="3">
        <v>54.4</v>
      </c>
      <c r="Y1074" s="3">
        <v>7.5</v>
      </c>
      <c r="Z1074" s="3">
        <v>15.0</v>
      </c>
      <c r="AA1074" s="3">
        <v>42.5</v>
      </c>
      <c r="AB1074" s="3">
        <v>269.96</v>
      </c>
      <c r="AC1074" s="3">
        <v>281.73</v>
      </c>
      <c r="AD1074" s="3">
        <v>100.0</v>
      </c>
      <c r="AE1074" s="3">
        <v>43.0</v>
      </c>
      <c r="AF1074" s="3">
        <v>46.7</v>
      </c>
      <c r="AG1074" s="3">
        <v>58.0</v>
      </c>
      <c r="AH1074" s="3">
        <v>117.19</v>
      </c>
      <c r="AI1074" s="3">
        <v>207.35</v>
      </c>
      <c r="AJ1074" s="3">
        <v>104.05</v>
      </c>
      <c r="AK1074" s="3">
        <v>130.1</v>
      </c>
      <c r="AL1074" s="3">
        <v>22.0</v>
      </c>
      <c r="AM1074" s="3">
        <v>80.83</v>
      </c>
      <c r="AN1074" s="3">
        <v>24.78</v>
      </c>
      <c r="AO1074" s="3">
        <v>111.0</v>
      </c>
      <c r="AP1074" s="3">
        <v>30.0</v>
      </c>
      <c r="AQ1074" s="3">
        <v>30.0</v>
      </c>
      <c r="AR1074" s="3">
        <v>29.0</v>
      </c>
      <c r="AS1074" s="3">
        <v>6.0</v>
      </c>
      <c r="AT1074" s="3">
        <v>64.22</v>
      </c>
    </row>
    <row r="1075" ht="15.75" customHeight="1">
      <c r="A1075" s="2" t="s">
        <v>70</v>
      </c>
      <c r="B1075" s="3">
        <v>200.0</v>
      </c>
      <c r="D1075" s="2" t="s">
        <v>232</v>
      </c>
      <c r="E1075" s="3">
        <v>140.0</v>
      </c>
    </row>
    <row r="1076" ht="15.75" customHeight="1">
      <c r="A1076" s="2" t="s">
        <v>212</v>
      </c>
      <c r="B1076" s="3">
        <v>49.99</v>
      </c>
      <c r="D1076" s="2" t="s">
        <v>118</v>
      </c>
      <c r="E1076" s="3">
        <v>142.69</v>
      </c>
    </row>
    <row r="1077" ht="15.75" customHeight="1">
      <c r="A1077" s="2" t="s">
        <v>108</v>
      </c>
      <c r="B1077" s="3">
        <v>916.98</v>
      </c>
    </row>
    <row r="1078" ht="15.75" customHeight="1">
      <c r="A1078" s="2" t="s">
        <v>88</v>
      </c>
      <c r="B1078" s="3">
        <v>252.11</v>
      </c>
    </row>
    <row r="1079" ht="15.75" customHeight="1">
      <c r="A1079" s="2" t="s">
        <v>109</v>
      </c>
      <c r="B1079" s="3">
        <v>91.24</v>
      </c>
    </row>
    <row r="1080" ht="15.75" customHeight="1">
      <c r="A1080" s="2" t="s">
        <v>83</v>
      </c>
      <c r="B1080" s="3">
        <v>43.3</v>
      </c>
    </row>
    <row r="1081" ht="15.75" customHeight="1">
      <c r="A1081" s="2" t="s">
        <v>117</v>
      </c>
      <c r="B1081" s="3">
        <v>1000.0</v>
      </c>
    </row>
    <row r="1082" ht="15.75" customHeight="1">
      <c r="A1082" s="2" t="s">
        <v>1</v>
      </c>
      <c r="B1082" s="2">
        <f>SUM(B1073:GG1081)</f>
        <v>8641.75</v>
      </c>
    </row>
    <row r="1083" ht="15.75" customHeight="1">
      <c r="A1083" s="1">
        <v>44774.0</v>
      </c>
    </row>
    <row r="1084" ht="15.75" customHeight="1">
      <c r="A1084" s="2" t="s">
        <v>120</v>
      </c>
      <c r="B1084" s="3">
        <v>62.81</v>
      </c>
      <c r="C1084" s="3">
        <v>51.64</v>
      </c>
      <c r="D1084" s="3">
        <v>505.93</v>
      </c>
      <c r="E1084" s="3">
        <v>42.06</v>
      </c>
      <c r="F1084" s="3">
        <v>44.02</v>
      </c>
      <c r="G1084" s="3">
        <v>295.0</v>
      </c>
      <c r="H1084" s="3">
        <v>29.28</v>
      </c>
      <c r="I1084" s="3">
        <v>40.05</v>
      </c>
      <c r="J1084" s="3">
        <v>53.25</v>
      </c>
      <c r="K1084" s="3">
        <v>33.94</v>
      </c>
    </row>
    <row r="1085" ht="15.75" customHeight="1">
      <c r="A1085" s="2" t="s">
        <v>237</v>
      </c>
      <c r="B1085" s="3">
        <v>39.5</v>
      </c>
      <c r="C1085" s="3">
        <v>859.8</v>
      </c>
      <c r="D1085" s="3">
        <v>53.2</v>
      </c>
      <c r="E1085" s="3">
        <v>44.97</v>
      </c>
      <c r="F1085" s="3">
        <v>118.72</v>
      </c>
      <c r="G1085" s="3">
        <v>60.45</v>
      </c>
      <c r="H1085" s="3">
        <v>34.99</v>
      </c>
      <c r="I1085" s="3">
        <v>49.95</v>
      </c>
      <c r="J1085" s="3">
        <v>42.61</v>
      </c>
      <c r="K1085" s="3">
        <v>145.66</v>
      </c>
      <c r="L1085" s="3">
        <v>54.4</v>
      </c>
      <c r="M1085" s="3">
        <v>94.86</v>
      </c>
      <c r="N1085" s="3">
        <v>57.93</v>
      </c>
      <c r="O1085" s="3">
        <v>80.0</v>
      </c>
      <c r="P1085" s="3">
        <v>303.64</v>
      </c>
      <c r="Q1085" s="3">
        <v>155.78</v>
      </c>
      <c r="R1085" s="3">
        <v>228.4</v>
      </c>
      <c r="S1085" s="3">
        <v>50.0</v>
      </c>
      <c r="T1085" s="3">
        <v>50.02</v>
      </c>
      <c r="U1085" s="3">
        <v>340.0</v>
      </c>
      <c r="V1085" s="3">
        <v>23.5</v>
      </c>
      <c r="W1085" s="3">
        <v>154.0</v>
      </c>
      <c r="X1085" s="3">
        <v>76.68</v>
      </c>
      <c r="Y1085" s="3">
        <v>55.0</v>
      </c>
      <c r="Z1085" s="3">
        <v>94.86</v>
      </c>
      <c r="AA1085" s="3">
        <v>14.0</v>
      </c>
      <c r="AB1085" s="3">
        <v>40.0</v>
      </c>
      <c r="AC1085" s="3">
        <v>15.0</v>
      </c>
      <c r="AD1085" s="3">
        <v>90.0</v>
      </c>
      <c r="AE1085" s="3">
        <v>73.1</v>
      </c>
      <c r="AF1085" s="3">
        <v>80.89</v>
      </c>
      <c r="AG1085" s="3">
        <v>30.0</v>
      </c>
      <c r="AH1085" s="3">
        <v>156.2</v>
      </c>
      <c r="AI1085" s="3">
        <v>115.0</v>
      </c>
      <c r="AJ1085" s="3">
        <v>25.0</v>
      </c>
    </row>
    <row r="1086" ht="15.75" customHeight="1">
      <c r="A1086" s="2" t="s">
        <v>70</v>
      </c>
      <c r="B1086" s="3">
        <v>200.0</v>
      </c>
    </row>
    <row r="1087" ht="15.75" customHeight="1">
      <c r="A1087" s="2" t="s">
        <v>212</v>
      </c>
      <c r="B1087" s="3">
        <v>49.99</v>
      </c>
      <c r="D1087" s="2" t="s">
        <v>117</v>
      </c>
      <c r="E1087" s="3">
        <v>500.0</v>
      </c>
    </row>
    <row r="1088" ht="15.75" customHeight="1">
      <c r="A1088" s="2" t="s">
        <v>108</v>
      </c>
      <c r="B1088" s="3">
        <v>4215.72</v>
      </c>
    </row>
    <row r="1089" ht="15.75" customHeight="1">
      <c r="A1089" s="2" t="s">
        <v>88</v>
      </c>
      <c r="B1089" s="3">
        <v>253.57</v>
      </c>
    </row>
    <row r="1090" ht="15.75" customHeight="1">
      <c r="A1090" s="2" t="s">
        <v>109</v>
      </c>
      <c r="B1090" s="3">
        <v>91.24</v>
      </c>
    </row>
    <row r="1091" ht="15.75" customHeight="1">
      <c r="A1091" s="2" t="s">
        <v>83</v>
      </c>
      <c r="B1091" s="3">
        <v>43.3</v>
      </c>
    </row>
    <row r="1092" ht="15.75" customHeight="1">
      <c r="A1092" s="2" t="s">
        <v>232</v>
      </c>
      <c r="B1092" s="3">
        <v>140.0</v>
      </c>
    </row>
    <row r="1093" ht="15.75" customHeight="1">
      <c r="A1093" s="2" t="s">
        <v>1</v>
      </c>
      <c r="B1093" s="2">
        <f>SUM(B1084:GQ1092)</f>
        <v>10559.91</v>
      </c>
    </row>
    <row r="1094" ht="15.75" customHeight="1">
      <c r="A1094" s="1">
        <v>44805.0</v>
      </c>
    </row>
    <row r="1095" ht="15.75" customHeight="1">
      <c r="A1095" s="2" t="s">
        <v>120</v>
      </c>
      <c r="B1095" s="3">
        <v>62.81</v>
      </c>
      <c r="C1095" s="3">
        <v>51.64</v>
      </c>
      <c r="D1095" s="3">
        <v>42.06</v>
      </c>
      <c r="E1095" s="3">
        <v>505.93</v>
      </c>
      <c r="F1095" s="3">
        <v>44.02</v>
      </c>
      <c r="G1095" s="3">
        <v>1210.0</v>
      </c>
      <c r="H1095" s="3">
        <v>29.28</v>
      </c>
      <c r="I1095" s="3">
        <v>40.05</v>
      </c>
      <c r="J1095" s="3">
        <v>53.25</v>
      </c>
      <c r="K1095" s="3">
        <v>33.94</v>
      </c>
    </row>
    <row r="1096" ht="15.75" customHeight="1">
      <c r="A1096" s="2" t="s">
        <v>237</v>
      </c>
      <c r="B1096" s="3">
        <v>295.0</v>
      </c>
      <c r="C1096" s="3">
        <v>859.8</v>
      </c>
      <c r="D1096" s="3">
        <v>57.93</v>
      </c>
      <c r="E1096" s="3">
        <v>44.97</v>
      </c>
      <c r="F1096" s="3">
        <v>118.72</v>
      </c>
      <c r="G1096" s="3">
        <v>60.45</v>
      </c>
      <c r="H1096" s="3">
        <v>145.68</v>
      </c>
      <c r="I1096" s="3">
        <v>40.05</v>
      </c>
      <c r="J1096" s="3">
        <v>155.78</v>
      </c>
      <c r="K1096" s="3">
        <v>228.4</v>
      </c>
      <c r="L1096" s="3">
        <v>49.99</v>
      </c>
      <c r="M1096" s="3">
        <v>13.9</v>
      </c>
      <c r="N1096" s="3">
        <v>257.71</v>
      </c>
      <c r="O1096" s="3">
        <v>512.0</v>
      </c>
      <c r="P1096" s="3">
        <v>65.0</v>
      </c>
      <c r="Q1096" s="3">
        <v>100.0</v>
      </c>
      <c r="R1096" s="3">
        <v>132.0</v>
      </c>
      <c r="S1096" s="3">
        <v>10.0</v>
      </c>
      <c r="T1096" s="3">
        <v>317.99</v>
      </c>
      <c r="U1096" s="3">
        <v>20.0</v>
      </c>
      <c r="V1096" s="3">
        <v>92.12</v>
      </c>
      <c r="W1096" s="3">
        <v>20.24</v>
      </c>
      <c r="X1096" s="3">
        <v>83.8</v>
      </c>
      <c r="Y1096" s="3">
        <v>68.29</v>
      </c>
      <c r="Z1096" s="3">
        <v>55.0</v>
      </c>
      <c r="AA1096" s="3">
        <v>285.78</v>
      </c>
      <c r="AB1096" s="3">
        <v>99.85</v>
      </c>
      <c r="AC1096" s="3">
        <v>7.0</v>
      </c>
      <c r="AD1096" s="3">
        <v>15.5</v>
      </c>
      <c r="AE1096" s="3">
        <v>52.89</v>
      </c>
      <c r="AF1096" s="3">
        <v>44.5</v>
      </c>
      <c r="AG1096" s="3">
        <v>120.4</v>
      </c>
      <c r="AH1096" s="3">
        <v>320.0</v>
      </c>
      <c r="AI1096" s="3">
        <v>72.29</v>
      </c>
      <c r="AJ1096" s="3">
        <v>43.89</v>
      </c>
      <c r="AK1096" s="3">
        <v>33.5</v>
      </c>
      <c r="AL1096" s="3">
        <v>80.0</v>
      </c>
    </row>
    <row r="1097" ht="15.75" customHeight="1">
      <c r="A1097" s="2" t="s">
        <v>70</v>
      </c>
      <c r="B1097" s="3">
        <v>200.0</v>
      </c>
    </row>
    <row r="1098" ht="15.75" customHeight="1">
      <c r="A1098" s="2" t="s">
        <v>212</v>
      </c>
      <c r="B1098" s="3">
        <v>49.99</v>
      </c>
      <c r="D1098" s="2" t="s">
        <v>230</v>
      </c>
      <c r="E1098" s="3">
        <v>436.0</v>
      </c>
    </row>
    <row r="1099" ht="15.75" customHeight="1">
      <c r="A1099" s="2" t="s">
        <v>108</v>
      </c>
      <c r="B1099" s="3">
        <v>908.39</v>
      </c>
    </row>
    <row r="1100" ht="15.75" customHeight="1">
      <c r="A1100" s="2" t="s">
        <v>88</v>
      </c>
      <c r="B1100" s="3">
        <v>308.33</v>
      </c>
    </row>
    <row r="1101" ht="15.75" customHeight="1">
      <c r="A1101" s="2" t="s">
        <v>109</v>
      </c>
      <c r="B1101" s="3">
        <v>71.29</v>
      </c>
    </row>
    <row r="1102" ht="15.75" customHeight="1">
      <c r="A1102" s="2" t="s">
        <v>83</v>
      </c>
      <c r="B1102" s="3">
        <v>43.3</v>
      </c>
    </row>
    <row r="1103" ht="15.75" customHeight="1"/>
    <row r="1104" ht="15.75" customHeight="1">
      <c r="A1104" s="2" t="s">
        <v>1</v>
      </c>
      <c r="B1104" s="2">
        <f>SUM(B1095:HW1103)</f>
        <v>9070.7</v>
      </c>
    </row>
    <row r="1105" ht="15.75" customHeight="1">
      <c r="A1105" s="1">
        <v>44835.0</v>
      </c>
    </row>
    <row r="1106" ht="15.75" customHeight="1">
      <c r="A1106" s="2" t="s">
        <v>120</v>
      </c>
      <c r="B1106" s="3">
        <v>505.93</v>
      </c>
      <c r="C1106" s="3">
        <v>44.02</v>
      </c>
      <c r="D1106" s="3">
        <v>1210.0</v>
      </c>
      <c r="E1106" s="3">
        <v>40.05</v>
      </c>
      <c r="F1106" s="3">
        <v>53.25</v>
      </c>
      <c r="G1106" s="3">
        <v>33.94</v>
      </c>
    </row>
    <row r="1107" ht="15.75" customHeight="1">
      <c r="A1107" s="2" t="s">
        <v>237</v>
      </c>
      <c r="B1107" s="3">
        <v>295.0</v>
      </c>
      <c r="C1107" s="3">
        <v>859.8</v>
      </c>
      <c r="D1107" s="3">
        <v>57.93</v>
      </c>
      <c r="E1107" s="3">
        <v>44.97</v>
      </c>
      <c r="F1107" s="3">
        <v>118.76</v>
      </c>
      <c r="G1107" s="3">
        <v>60.45</v>
      </c>
      <c r="H1107" s="3">
        <v>94.88</v>
      </c>
      <c r="I1107" s="3">
        <v>228.4</v>
      </c>
      <c r="J1107" s="3">
        <v>49.99</v>
      </c>
      <c r="K1107" s="3">
        <v>20.18</v>
      </c>
      <c r="L1107" s="3">
        <v>88.35</v>
      </c>
      <c r="M1107" s="3">
        <v>99.85</v>
      </c>
      <c r="N1107" s="3">
        <v>78.48</v>
      </c>
      <c r="O1107" s="3">
        <v>29.83</v>
      </c>
      <c r="P1107" s="3">
        <v>60.0</v>
      </c>
      <c r="Q1107" s="3">
        <v>251.43</v>
      </c>
      <c r="R1107" s="3">
        <v>596.18</v>
      </c>
      <c r="S1107" s="3">
        <v>3.58</v>
      </c>
      <c r="T1107" s="3">
        <v>102.92</v>
      </c>
      <c r="U1107" s="3">
        <v>109.0</v>
      </c>
      <c r="V1107" s="3">
        <v>470.95</v>
      </c>
      <c r="W1107" s="3">
        <v>61.98</v>
      </c>
      <c r="X1107" s="3">
        <v>119.55</v>
      </c>
      <c r="Y1107" s="3">
        <v>101.66</v>
      </c>
      <c r="Z1107" s="3">
        <v>56.0</v>
      </c>
      <c r="AA1107" s="3">
        <v>30.83</v>
      </c>
      <c r="AB1107" s="3">
        <v>7.0</v>
      </c>
      <c r="AC1107" s="3">
        <v>320.0</v>
      </c>
      <c r="AD1107" s="3">
        <v>61.52</v>
      </c>
      <c r="AE1107" s="3">
        <v>103.68</v>
      </c>
      <c r="AF1107" s="3">
        <v>143.2</v>
      </c>
      <c r="AG1107" s="3">
        <v>420.0</v>
      </c>
      <c r="AH1107" s="3">
        <v>90.53</v>
      </c>
      <c r="AI1107" s="3">
        <v>166.4</v>
      </c>
      <c r="AJ1107" s="3">
        <v>11.5</v>
      </c>
      <c r="AK1107" s="3">
        <v>55.58</v>
      </c>
      <c r="AL1107" s="3">
        <v>13.0</v>
      </c>
      <c r="AM1107" s="3">
        <v>152.49</v>
      </c>
      <c r="AN1107" s="3">
        <v>87.0</v>
      </c>
      <c r="AO1107" s="3">
        <v>405.9</v>
      </c>
      <c r="AP1107" s="3">
        <v>51.9</v>
      </c>
      <c r="AQ1107" s="3">
        <v>25.5</v>
      </c>
      <c r="AR1107" s="3">
        <v>131.95</v>
      </c>
      <c r="AS1107" s="3">
        <v>44.42</v>
      </c>
      <c r="AT1107" s="3">
        <v>50.0</v>
      </c>
      <c r="AU1107" s="3">
        <v>25.0</v>
      </c>
      <c r="AV1107" s="3">
        <v>145.67</v>
      </c>
      <c r="AW1107" s="3">
        <v>25.0</v>
      </c>
      <c r="AX1107" s="3">
        <v>56.0</v>
      </c>
      <c r="AY1107" s="3">
        <v>95.0</v>
      </c>
      <c r="AZ1107" s="3">
        <v>60.0</v>
      </c>
      <c r="BA1107" s="3">
        <v>20.0</v>
      </c>
      <c r="BB1107" s="3">
        <v>55.0</v>
      </c>
      <c r="BC1107" s="3">
        <v>3.5</v>
      </c>
      <c r="BD1107" s="3">
        <v>9.0</v>
      </c>
      <c r="BE1107" s="3">
        <v>43.0</v>
      </c>
    </row>
    <row r="1108" ht="15.75" customHeight="1">
      <c r="A1108" s="2" t="s">
        <v>70</v>
      </c>
      <c r="B1108" s="3">
        <v>200.0</v>
      </c>
    </row>
    <row r="1109" ht="15.75" customHeight="1">
      <c r="A1109" s="2" t="s">
        <v>212</v>
      </c>
      <c r="B1109" s="3">
        <v>49.99</v>
      </c>
      <c r="D1109" s="2" t="s">
        <v>239</v>
      </c>
      <c r="E1109" s="3">
        <v>1800.0</v>
      </c>
    </row>
    <row r="1110" ht="15.75" customHeight="1">
      <c r="A1110" s="2" t="s">
        <v>108</v>
      </c>
      <c r="B1110" s="3">
        <v>3660.0</v>
      </c>
    </row>
    <row r="1111" ht="15.75" customHeight="1">
      <c r="A1111" s="2" t="s">
        <v>88</v>
      </c>
      <c r="B1111" s="3">
        <v>338.87</v>
      </c>
    </row>
    <row r="1112" ht="15.75" customHeight="1">
      <c r="A1112" s="2" t="s">
        <v>109</v>
      </c>
      <c r="B1112" s="3">
        <v>77.94</v>
      </c>
    </row>
    <row r="1113" ht="15.75" customHeight="1">
      <c r="A1113" s="2" t="s">
        <v>83</v>
      </c>
      <c r="B1113" s="3">
        <v>43.3</v>
      </c>
    </row>
    <row r="1114" ht="15.75" customHeight="1"/>
    <row r="1115" ht="15.75" customHeight="1">
      <c r="A1115" s="2" t="s">
        <v>1</v>
      </c>
      <c r="B1115" s="2">
        <f>SUM(B1105:DP1114)</f>
        <v>15026.98</v>
      </c>
    </row>
    <row r="1116" ht="15.75" customHeight="1">
      <c r="A1116" s="1">
        <v>44866.0</v>
      </c>
    </row>
    <row r="1117" ht="15.75" customHeight="1">
      <c r="A1117" s="2" t="s">
        <v>120</v>
      </c>
      <c r="B1117" s="3">
        <v>505.93</v>
      </c>
      <c r="C1117" s="3">
        <v>1210.0</v>
      </c>
      <c r="D1117" s="3">
        <v>53.25</v>
      </c>
      <c r="E1117" s="3">
        <v>33.94</v>
      </c>
    </row>
    <row r="1118" ht="15.75" customHeight="1">
      <c r="A1118" s="2" t="s">
        <v>237</v>
      </c>
      <c r="B1118" s="3">
        <v>295.0</v>
      </c>
      <c r="C1118" s="3">
        <v>859.8</v>
      </c>
      <c r="D1118" s="3">
        <v>57.93</v>
      </c>
      <c r="E1118" s="3">
        <v>118.76</v>
      </c>
      <c r="F1118" s="3">
        <v>94.88</v>
      </c>
      <c r="G1118" s="3">
        <v>228.4</v>
      </c>
      <c r="H1118" s="3">
        <v>49.99</v>
      </c>
      <c r="I1118" s="3">
        <v>20.18</v>
      </c>
      <c r="J1118" s="3">
        <v>88.35</v>
      </c>
      <c r="K1118" s="3">
        <v>78.48</v>
      </c>
      <c r="L1118" s="3">
        <v>385.0</v>
      </c>
      <c r="M1118" s="3">
        <v>87.94</v>
      </c>
      <c r="N1118" s="3">
        <v>210.0</v>
      </c>
      <c r="O1118" s="3">
        <v>25.5</v>
      </c>
      <c r="P1118" s="3">
        <v>59.98</v>
      </c>
      <c r="Q1118" s="3">
        <v>94.25</v>
      </c>
      <c r="R1118" s="3">
        <v>278.3</v>
      </c>
      <c r="S1118" s="3">
        <v>71.0</v>
      </c>
      <c r="T1118" s="3">
        <v>160.0</v>
      </c>
      <c r="U1118" s="3">
        <v>473.27</v>
      </c>
      <c r="V1118" s="3">
        <v>119.0</v>
      </c>
      <c r="W1118" s="3">
        <v>84.7</v>
      </c>
      <c r="X1118" s="3">
        <v>116.66</v>
      </c>
      <c r="Y1118" s="3">
        <v>43.0</v>
      </c>
      <c r="Z1118" s="3">
        <v>95.0</v>
      </c>
      <c r="AA1118" s="3">
        <v>40.0</v>
      </c>
      <c r="AB1118" s="3">
        <v>66.0</v>
      </c>
      <c r="AC1118" s="3">
        <v>36.0</v>
      </c>
      <c r="AD1118" s="3">
        <v>13.0</v>
      </c>
      <c r="AE1118" s="3">
        <v>25.0</v>
      </c>
      <c r="AF1118" s="3">
        <v>25.0</v>
      </c>
      <c r="AG1118" s="3">
        <v>28.0</v>
      </c>
      <c r="AH1118" s="3">
        <v>181.03</v>
      </c>
      <c r="AI1118" s="3">
        <v>113.36</v>
      </c>
      <c r="AJ1118" s="3">
        <v>171.2</v>
      </c>
      <c r="AK1118" s="3">
        <v>31.5</v>
      </c>
      <c r="AL1118" s="3">
        <v>51.76</v>
      </c>
      <c r="AM1118" s="3">
        <v>211.23</v>
      </c>
      <c r="AN1118" s="3">
        <v>96.35</v>
      </c>
      <c r="AO1118" s="3">
        <v>191.3</v>
      </c>
      <c r="AP1118" s="3">
        <v>194.5</v>
      </c>
      <c r="AQ1118" s="3">
        <v>80.0</v>
      </c>
      <c r="AR1118" s="3">
        <v>179.99</v>
      </c>
      <c r="AS1118" s="3">
        <v>47.48</v>
      </c>
      <c r="AT1118" s="3">
        <v>156.2</v>
      </c>
      <c r="AU1118" s="3">
        <v>10.0</v>
      </c>
      <c r="AV1118" s="3">
        <v>17.4</v>
      </c>
      <c r="AW1118" s="3">
        <v>45.0</v>
      </c>
      <c r="AX1118" s="3">
        <v>62.25</v>
      </c>
      <c r="AY1118" s="3">
        <v>166.5</v>
      </c>
      <c r="AZ1118" s="3">
        <v>100.0</v>
      </c>
      <c r="BA1118" s="3">
        <v>94.0</v>
      </c>
      <c r="BB1118" s="3">
        <v>150.0</v>
      </c>
      <c r="BC1118" s="3">
        <v>10.22</v>
      </c>
      <c r="BD1118" s="3">
        <v>48.0</v>
      </c>
      <c r="BE1118" s="3">
        <v>48.0</v>
      </c>
      <c r="BF1118" s="3">
        <v>70.17</v>
      </c>
      <c r="BG1118" s="3">
        <v>23.48</v>
      </c>
      <c r="BH1118" s="3">
        <v>32.81</v>
      </c>
      <c r="BI1118" s="3">
        <v>5.35</v>
      </c>
      <c r="BJ1118" s="3">
        <v>29.9</v>
      </c>
      <c r="BK1118" s="3">
        <v>20.0</v>
      </c>
      <c r="BL1118" s="3">
        <v>33.8</v>
      </c>
      <c r="BM1118" s="3">
        <v>11.6</v>
      </c>
      <c r="BN1118" s="3">
        <v>29.94</v>
      </c>
      <c r="BO1118" s="3">
        <v>39.9</v>
      </c>
      <c r="BP1118" s="3">
        <v>20.14</v>
      </c>
      <c r="BQ1118" s="3">
        <v>25.0</v>
      </c>
    </row>
    <row r="1119" ht="15.75" customHeight="1">
      <c r="A1119" s="2" t="s">
        <v>70</v>
      </c>
      <c r="B1119" s="3">
        <v>100.0</v>
      </c>
    </row>
    <row r="1120" ht="15.75" customHeight="1">
      <c r="A1120" s="2" t="s">
        <v>212</v>
      </c>
      <c r="B1120" s="3">
        <v>46.82</v>
      </c>
      <c r="D1120" s="2" t="s">
        <v>240</v>
      </c>
      <c r="E1120" s="3">
        <v>1500.0</v>
      </c>
    </row>
    <row r="1121" ht="15.75" customHeight="1">
      <c r="A1121" s="2" t="s">
        <v>108</v>
      </c>
      <c r="B1121" s="3">
        <v>196.83</v>
      </c>
      <c r="D1121" s="2" t="s">
        <v>241</v>
      </c>
      <c r="E1121" s="3">
        <v>350.0</v>
      </c>
    </row>
    <row r="1122" ht="15.75" customHeight="1">
      <c r="A1122" s="2" t="s">
        <v>88</v>
      </c>
      <c r="B1122" s="3">
        <v>269.6</v>
      </c>
    </row>
    <row r="1123" ht="15.75" customHeight="1">
      <c r="A1123" s="2" t="s">
        <v>109</v>
      </c>
      <c r="B1123" s="3">
        <v>84.59</v>
      </c>
    </row>
    <row r="1124" ht="15.75" customHeight="1">
      <c r="A1124" s="2" t="s">
        <v>83</v>
      </c>
      <c r="B1124" s="3">
        <v>43.3</v>
      </c>
    </row>
    <row r="1125" ht="15.75" customHeight="1"/>
    <row r="1126" ht="15.75" customHeight="1">
      <c r="A1126" s="2" t="s">
        <v>1</v>
      </c>
      <c r="B1126" s="2">
        <f>SUM(B1117:FM1125)</f>
        <v>11621.99</v>
      </c>
    </row>
    <row r="1127" ht="15.75" customHeight="1">
      <c r="A1127" s="1">
        <v>44896.0</v>
      </c>
    </row>
    <row r="1128" ht="15.75" customHeight="1">
      <c r="A1128" s="2" t="s">
        <v>120</v>
      </c>
      <c r="B1128" s="3">
        <v>505.93</v>
      </c>
      <c r="C1128" s="3">
        <v>1210.0</v>
      </c>
      <c r="D1128" s="3">
        <v>53.25</v>
      </c>
      <c r="E1128" s="3">
        <v>33.94</v>
      </c>
    </row>
    <row r="1129" ht="15.75" customHeight="1">
      <c r="A1129" s="2" t="s">
        <v>237</v>
      </c>
      <c r="B1129" s="3">
        <v>295.0</v>
      </c>
      <c r="C1129" s="3">
        <v>859.8</v>
      </c>
      <c r="D1129" s="3">
        <v>57.93</v>
      </c>
      <c r="E1129" s="3">
        <v>118.76</v>
      </c>
      <c r="F1129" s="3">
        <v>228.4</v>
      </c>
      <c r="G1129" s="3">
        <v>20.18</v>
      </c>
      <c r="H1129" s="3">
        <v>88.35</v>
      </c>
      <c r="I1129" s="3">
        <v>94.25</v>
      </c>
      <c r="J1129" s="3">
        <v>160.0</v>
      </c>
      <c r="K1129" s="3">
        <v>100.0</v>
      </c>
      <c r="L1129" s="3">
        <v>116.67</v>
      </c>
      <c r="M1129" s="3">
        <v>96.33</v>
      </c>
      <c r="N1129" s="3">
        <v>191.3</v>
      </c>
      <c r="O1129" s="3">
        <v>194.5</v>
      </c>
      <c r="P1129" s="3">
        <v>23.47</v>
      </c>
      <c r="Q1129" s="3">
        <v>32.78</v>
      </c>
      <c r="R1129" s="3">
        <v>218.0</v>
      </c>
      <c r="S1129" s="3">
        <v>7.5</v>
      </c>
      <c r="T1129" s="3">
        <v>180.96</v>
      </c>
      <c r="U1129" s="3">
        <v>202.1</v>
      </c>
      <c r="V1129" s="3">
        <v>87.84</v>
      </c>
      <c r="W1129" s="3">
        <v>320.0</v>
      </c>
      <c r="X1129" s="3">
        <v>103.13</v>
      </c>
      <c r="Y1129" s="3">
        <v>174.75</v>
      </c>
      <c r="Z1129" s="3">
        <v>73.47</v>
      </c>
      <c r="AA1129" s="3">
        <v>45.0</v>
      </c>
      <c r="AB1129" s="3">
        <v>68.8</v>
      </c>
      <c r="AC1129" s="3">
        <v>25.0</v>
      </c>
      <c r="AD1129" s="3">
        <v>34.0</v>
      </c>
      <c r="AE1129" s="3">
        <v>392.4</v>
      </c>
      <c r="AF1129" s="3">
        <v>89.9</v>
      </c>
      <c r="AG1129" s="3">
        <v>11.0</v>
      </c>
      <c r="AH1129" s="3">
        <v>36.0</v>
      </c>
      <c r="AI1129" s="3">
        <v>61.0</v>
      </c>
      <c r="AJ1129" s="3">
        <v>91.0</v>
      </c>
      <c r="AK1129" s="3">
        <v>31.55</v>
      </c>
      <c r="AL1129" s="3">
        <v>34.11</v>
      </c>
      <c r="AM1129" s="3">
        <v>26.0</v>
      </c>
      <c r="AN1129" s="3">
        <v>53.0</v>
      </c>
      <c r="AO1129" s="3">
        <v>248.88</v>
      </c>
      <c r="AP1129" s="3">
        <v>55.0</v>
      </c>
      <c r="AQ1129" s="3">
        <v>64.0</v>
      </c>
      <c r="AR1129" s="3">
        <v>197.58</v>
      </c>
      <c r="AS1129" s="3">
        <v>54.58</v>
      </c>
      <c r="AT1129" s="3">
        <v>75.12</v>
      </c>
      <c r="AU1129" s="3">
        <v>306.5</v>
      </c>
      <c r="AV1129" s="3">
        <v>57.5</v>
      </c>
      <c r="AW1129" s="3">
        <v>14.0</v>
      </c>
      <c r="AX1129" s="3">
        <v>98.0</v>
      </c>
      <c r="AY1129" s="3">
        <v>154.0</v>
      </c>
      <c r="AZ1129" s="3">
        <v>156.96</v>
      </c>
      <c r="BA1129" s="3">
        <v>99.0</v>
      </c>
      <c r="BB1129" s="3">
        <v>31.0</v>
      </c>
      <c r="BC1129" s="3">
        <v>55.0</v>
      </c>
      <c r="BD1129" s="3">
        <v>50.0</v>
      </c>
      <c r="BE1129" s="3">
        <v>57.3</v>
      </c>
      <c r="BF1129" s="3">
        <v>35.0</v>
      </c>
      <c r="BG1129" s="3">
        <v>65.45</v>
      </c>
      <c r="BH1129" s="3">
        <v>123.5</v>
      </c>
      <c r="BI1129" s="3">
        <v>277.25</v>
      </c>
      <c r="BJ1129" s="3">
        <v>71.93</v>
      </c>
      <c r="BK1129" s="3">
        <v>271.4</v>
      </c>
      <c r="BL1129" s="3">
        <v>35.0</v>
      </c>
      <c r="BM1129" s="3">
        <v>20.9</v>
      </c>
      <c r="BN1129" s="3">
        <v>6.0</v>
      </c>
      <c r="BO1129" s="3">
        <v>60.0</v>
      </c>
      <c r="BP1129" s="3">
        <v>13.75</v>
      </c>
      <c r="BQ1129" s="3">
        <v>45.35</v>
      </c>
      <c r="BR1129" s="3">
        <v>59.8</v>
      </c>
      <c r="BS1129" s="3">
        <v>90.0</v>
      </c>
      <c r="BT1129" s="3">
        <v>20.0</v>
      </c>
      <c r="BU1129" s="3">
        <v>31.3</v>
      </c>
      <c r="BV1129" s="3">
        <v>32.5</v>
      </c>
      <c r="BW1129" s="3">
        <v>47.95</v>
      </c>
      <c r="BX1129" s="3">
        <v>55.5</v>
      </c>
      <c r="BY1129" s="3">
        <v>31.24</v>
      </c>
      <c r="BZ1129" s="3">
        <v>24.0</v>
      </c>
      <c r="CA1129" s="3">
        <v>78.0</v>
      </c>
      <c r="CB1129" s="3">
        <v>5.0</v>
      </c>
      <c r="CC1129" s="3">
        <v>54.0</v>
      </c>
      <c r="CD1129" s="3">
        <v>191.66</v>
      </c>
      <c r="CE1129" s="3">
        <v>32.0</v>
      </c>
      <c r="CF1129" s="3">
        <v>64.0</v>
      </c>
      <c r="CG1129" s="3">
        <v>37.0</v>
      </c>
      <c r="CH1129" s="3">
        <v>80.0</v>
      </c>
      <c r="CI1129" s="3">
        <v>14.6</v>
      </c>
      <c r="CJ1129" s="3">
        <v>45.0</v>
      </c>
    </row>
    <row r="1130" ht="15.75" customHeight="1">
      <c r="A1130" s="2" t="s">
        <v>70</v>
      </c>
    </row>
    <row r="1131" ht="15.75" customHeight="1">
      <c r="A1131" s="2" t="s">
        <v>212</v>
      </c>
      <c r="B1131" s="3">
        <v>46.82</v>
      </c>
      <c r="D1131" s="2" t="s">
        <v>242</v>
      </c>
      <c r="E1131" s="3">
        <v>1649.1</v>
      </c>
    </row>
    <row r="1132" ht="15.75" customHeight="1">
      <c r="A1132" s="2" t="s">
        <v>108</v>
      </c>
      <c r="B1132" s="3">
        <v>100.0</v>
      </c>
      <c r="C1132" s="3"/>
    </row>
    <row r="1133" ht="15.75" customHeight="1">
      <c r="A1133" s="2" t="s">
        <v>88</v>
      </c>
      <c r="B1133" s="3">
        <v>250.11</v>
      </c>
    </row>
    <row r="1134" ht="15.75" customHeight="1">
      <c r="A1134" s="2" t="s">
        <v>109</v>
      </c>
      <c r="B1134" s="3">
        <v>91.24</v>
      </c>
    </row>
    <row r="1135" ht="15.75" customHeight="1">
      <c r="A1135" s="2" t="s">
        <v>83</v>
      </c>
      <c r="B1135" s="3">
        <v>43.3</v>
      </c>
    </row>
    <row r="1136" ht="15.75" customHeight="1">
      <c r="A1136" s="2" t="s">
        <v>114</v>
      </c>
      <c r="B1136" s="3">
        <v>2475.0</v>
      </c>
    </row>
    <row r="1137" ht="15.75" customHeight="1">
      <c r="A1137" s="2" t="s">
        <v>1</v>
      </c>
      <c r="B1137" s="2">
        <f>SUM(B1128:ER1136)</f>
        <v>15296.42</v>
      </c>
    </row>
    <row r="1138" ht="15.75" customHeight="1"/>
    <row r="1139" ht="15.75" customHeight="1">
      <c r="A1139" s="1">
        <v>44927.0</v>
      </c>
    </row>
    <row r="1140" ht="15.75" customHeight="1">
      <c r="A1140" s="2" t="s">
        <v>120</v>
      </c>
      <c r="B1140" s="3">
        <v>1210.0</v>
      </c>
    </row>
    <row r="1141" ht="15.75" customHeight="1">
      <c r="A1141" s="2" t="s">
        <v>237</v>
      </c>
      <c r="B1141" s="3">
        <v>859.8</v>
      </c>
      <c r="C1141" s="3">
        <v>57.95</v>
      </c>
      <c r="D1141" s="3">
        <v>118.76</v>
      </c>
      <c r="E1141" s="3">
        <v>228.4</v>
      </c>
      <c r="F1141" s="3">
        <v>20.24</v>
      </c>
      <c r="G1141" s="3">
        <v>88.35</v>
      </c>
      <c r="H1141" s="3">
        <v>232.0</v>
      </c>
      <c r="I1141" s="3">
        <v>100.0</v>
      </c>
      <c r="J1141" s="3">
        <v>116.66</v>
      </c>
      <c r="K1141" s="3">
        <v>96.35</v>
      </c>
      <c r="L1141" s="3">
        <v>23.48</v>
      </c>
      <c r="M1141" s="3">
        <v>32.81</v>
      </c>
      <c r="N1141" s="3">
        <v>89.8</v>
      </c>
      <c r="O1141" s="3">
        <v>103.13</v>
      </c>
      <c r="P1141" s="3">
        <v>75.12</v>
      </c>
      <c r="Q1141" s="3">
        <v>277.25</v>
      </c>
      <c r="R1141" s="3">
        <v>71.93</v>
      </c>
      <c r="S1141" s="3">
        <v>271.4</v>
      </c>
      <c r="T1141" s="3">
        <v>47.95</v>
      </c>
      <c r="U1141" s="3">
        <v>104.98</v>
      </c>
      <c r="V1141" s="3">
        <v>184.78</v>
      </c>
      <c r="W1141" s="3">
        <v>83.5</v>
      </c>
      <c r="X1141" s="3">
        <v>65.16</v>
      </c>
      <c r="Y1141" s="3">
        <v>28.05</v>
      </c>
      <c r="Z1141" s="3">
        <v>77.39</v>
      </c>
      <c r="AA1141" s="3">
        <v>7.99</v>
      </c>
      <c r="AB1141" s="3">
        <v>65.83</v>
      </c>
      <c r="AC1141" s="3">
        <v>62.0</v>
      </c>
      <c r="AD1141" s="3">
        <v>40.0</v>
      </c>
      <c r="AE1141" s="3">
        <v>64.27</v>
      </c>
      <c r="AF1141" s="3">
        <v>71.0</v>
      </c>
      <c r="AG1141" s="3">
        <v>310.0</v>
      </c>
      <c r="AH1141" s="3">
        <v>156.43</v>
      </c>
      <c r="AI1141" s="3">
        <v>78.03</v>
      </c>
      <c r="AJ1141" s="3">
        <v>39.9</v>
      </c>
      <c r="AK1141" s="3">
        <v>74.9</v>
      </c>
      <c r="AL1141" s="3">
        <v>80.4</v>
      </c>
      <c r="AM1141" s="3">
        <v>105.6</v>
      </c>
      <c r="AN1141" s="3">
        <v>19.0</v>
      </c>
      <c r="AO1141" s="3">
        <v>64.8</v>
      </c>
      <c r="AP1141" s="3">
        <v>401.86</v>
      </c>
      <c r="AQ1141" s="3">
        <v>60.0</v>
      </c>
      <c r="AR1141" s="3">
        <v>21.0</v>
      </c>
      <c r="AS1141" s="3">
        <v>51.0</v>
      </c>
      <c r="AT1141" s="3">
        <v>40.0</v>
      </c>
      <c r="AU1141" s="3">
        <v>258.25</v>
      </c>
      <c r="AV1141" s="3">
        <v>25.25</v>
      </c>
      <c r="AW1141" s="3">
        <v>323.73</v>
      </c>
      <c r="AX1141" s="3">
        <v>74.9</v>
      </c>
      <c r="AY1141" s="3">
        <v>99.95</v>
      </c>
      <c r="AZ1141" s="3">
        <v>258.25</v>
      </c>
      <c r="BA1141" s="3">
        <v>25.25</v>
      </c>
      <c r="BB1141" s="3">
        <v>323.73</v>
      </c>
      <c r="BC1141" s="3">
        <v>74.9</v>
      </c>
      <c r="BD1141" s="3">
        <v>99.95</v>
      </c>
      <c r="BE1141" s="3">
        <v>94.9</v>
      </c>
      <c r="BF1141" s="3">
        <v>25.0</v>
      </c>
      <c r="BG1141" s="3">
        <v>129.6</v>
      </c>
      <c r="BH1141" s="3">
        <v>30.0</v>
      </c>
      <c r="BI1141" s="3">
        <v>93.92</v>
      </c>
      <c r="BJ1141" s="3">
        <v>6.99</v>
      </c>
      <c r="BK1141" s="3">
        <v>101.02</v>
      </c>
      <c r="BL1141" s="3">
        <v>14.0</v>
      </c>
      <c r="BM1141" s="3">
        <v>75.59</v>
      </c>
      <c r="BN1141" s="3">
        <v>19.98</v>
      </c>
      <c r="BO1141" s="3">
        <v>100.0</v>
      </c>
      <c r="BP1141" s="3">
        <v>100.0</v>
      </c>
      <c r="BQ1141" s="3">
        <v>61.85</v>
      </c>
      <c r="BR1141" s="3">
        <v>32.0</v>
      </c>
      <c r="BS1141" s="3">
        <v>65.0</v>
      </c>
      <c r="BT1141" s="3">
        <v>76.87</v>
      </c>
      <c r="BU1141" s="3">
        <v>29.99</v>
      </c>
      <c r="BV1141" s="3">
        <v>77.5</v>
      </c>
      <c r="BW1141" s="3">
        <v>60.0</v>
      </c>
      <c r="BX1141" s="3">
        <v>28.0</v>
      </c>
      <c r="BY1141" s="3">
        <v>8.0</v>
      </c>
      <c r="BZ1141" s="3">
        <v>8.0</v>
      </c>
      <c r="CA1141" s="3">
        <v>60.0</v>
      </c>
      <c r="CB1141" s="3">
        <v>150.0</v>
      </c>
      <c r="CC1141" s="3">
        <v>155.0</v>
      </c>
      <c r="CD1141" s="3">
        <v>37.0</v>
      </c>
      <c r="CE1141" s="3">
        <v>38.95</v>
      </c>
      <c r="CF1141" s="3">
        <v>62.0</v>
      </c>
      <c r="CG1141" s="3">
        <v>120.34</v>
      </c>
      <c r="CH1141" s="3">
        <v>130.0</v>
      </c>
      <c r="CI1141" s="3">
        <v>145.55</v>
      </c>
      <c r="CJ1141" s="3">
        <v>34.5</v>
      </c>
      <c r="CK1141" s="3">
        <v>34.5</v>
      </c>
      <c r="CL1141" s="3">
        <v>11.5</v>
      </c>
      <c r="CM1141" s="3">
        <v>69.9</v>
      </c>
      <c r="CN1141" s="3">
        <v>68.5</v>
      </c>
      <c r="CO1141" s="3">
        <v>22.0</v>
      </c>
      <c r="CP1141" s="3">
        <v>152.04</v>
      </c>
      <c r="CQ1141" s="3">
        <v>94.9</v>
      </c>
      <c r="CR1141" s="3">
        <v>11.0</v>
      </c>
      <c r="CS1141" s="3">
        <v>69.99</v>
      </c>
      <c r="CT1141" s="3">
        <v>35.0</v>
      </c>
      <c r="CU1141" s="3">
        <v>44.9</v>
      </c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I1141" s="3"/>
    </row>
    <row r="1142" ht="15.75" customHeight="1">
      <c r="A1142" s="2" t="s">
        <v>70</v>
      </c>
      <c r="B1142" s="3">
        <v>153.0</v>
      </c>
    </row>
    <row r="1143" ht="15.75" customHeight="1">
      <c r="A1143" s="2" t="s">
        <v>212</v>
      </c>
      <c r="B1143" s="3">
        <v>46.82</v>
      </c>
      <c r="D1143" s="2" t="s">
        <v>235</v>
      </c>
      <c r="E1143" s="3">
        <v>200.0</v>
      </c>
    </row>
    <row r="1144" ht="15.75" customHeight="1">
      <c r="A1144" s="2" t="s">
        <v>108</v>
      </c>
      <c r="B1144" s="3">
        <v>100.0</v>
      </c>
      <c r="D1144" s="2" t="s">
        <v>243</v>
      </c>
      <c r="E1144" s="3">
        <v>200.0</v>
      </c>
    </row>
    <row r="1145" ht="15.75" customHeight="1">
      <c r="A1145" s="2" t="s">
        <v>88</v>
      </c>
      <c r="B1145" s="3">
        <v>346.71</v>
      </c>
    </row>
    <row r="1146" ht="15.75" customHeight="1">
      <c r="A1146" s="2" t="s">
        <v>109</v>
      </c>
      <c r="B1146" s="3">
        <v>151.09</v>
      </c>
    </row>
    <row r="1147" ht="15.75" customHeight="1">
      <c r="A1147" s="2" t="s">
        <v>232</v>
      </c>
      <c r="B1147" s="3">
        <v>120.0</v>
      </c>
    </row>
    <row r="1148" ht="15.75" customHeight="1">
      <c r="A1148" s="2" t="s">
        <v>238</v>
      </c>
      <c r="B1148" s="3">
        <v>1925.0</v>
      </c>
    </row>
    <row r="1149" ht="15.75" customHeight="1">
      <c r="A1149" s="2" t="s">
        <v>1</v>
      </c>
      <c r="B1149" s="2">
        <f>SUM(B1140:PW1148)</f>
        <v>14071.81</v>
      </c>
    </row>
    <row r="1150" ht="15.75" customHeight="1"/>
    <row r="1151" ht="15.75" customHeight="1">
      <c r="A1151" s="1">
        <v>44958.0</v>
      </c>
    </row>
    <row r="1152" ht="15.75" customHeight="1">
      <c r="A1152" s="2" t="s">
        <v>120</v>
      </c>
    </row>
    <row r="1153" ht="15.75" customHeight="1">
      <c r="A1153" s="2" t="s">
        <v>120</v>
      </c>
      <c r="B1153" s="3">
        <v>859.8</v>
      </c>
      <c r="C1153" s="3">
        <v>75.9</v>
      </c>
      <c r="D1153" s="3">
        <v>118.76</v>
      </c>
      <c r="E1153" s="3">
        <v>228.4</v>
      </c>
      <c r="F1153" s="3">
        <v>20.24</v>
      </c>
      <c r="G1153" s="3">
        <v>62.5</v>
      </c>
      <c r="H1153" s="3">
        <v>310.0</v>
      </c>
      <c r="I1153" s="3">
        <v>96.35</v>
      </c>
      <c r="J1153" s="3">
        <v>23.48</v>
      </c>
      <c r="K1153" s="3">
        <v>32.81</v>
      </c>
      <c r="L1153" s="3">
        <v>277.25</v>
      </c>
      <c r="M1153" s="3">
        <v>271.4</v>
      </c>
      <c r="N1153" s="3">
        <v>69.9</v>
      </c>
      <c r="O1153" s="3">
        <v>68.5</v>
      </c>
      <c r="P1153" s="3">
        <v>34.9</v>
      </c>
      <c r="Q1153" s="3">
        <v>61.85</v>
      </c>
      <c r="R1153" s="3">
        <v>75.59</v>
      </c>
      <c r="S1153" s="3">
        <v>101.2</v>
      </c>
      <c r="T1153" s="3">
        <v>93.92</v>
      </c>
      <c r="U1153" s="3">
        <v>129.6</v>
      </c>
      <c r="V1153" s="3">
        <v>94.9</v>
      </c>
      <c r="W1153" s="3">
        <v>99.25</v>
      </c>
      <c r="X1153" s="3">
        <v>258.25</v>
      </c>
      <c r="Y1153" s="3">
        <v>105.6</v>
      </c>
      <c r="Z1153" s="3">
        <v>70.99</v>
      </c>
      <c r="AA1153" s="3">
        <v>65.16</v>
      </c>
      <c r="AB1153" s="3">
        <v>28.03</v>
      </c>
      <c r="AC1153" s="3">
        <v>438.5</v>
      </c>
      <c r="AD1153" s="3">
        <v>21.0</v>
      </c>
      <c r="AE1153" s="3">
        <v>197.12</v>
      </c>
      <c r="AF1153" s="3">
        <v>20.0</v>
      </c>
      <c r="AG1153" s="3">
        <v>62.0</v>
      </c>
      <c r="AH1153" s="3">
        <v>236.0</v>
      </c>
      <c r="AI1153" s="3">
        <v>45.77</v>
      </c>
      <c r="AJ1153" s="3">
        <v>36.98</v>
      </c>
      <c r="AK1153" s="3">
        <v>13.9</v>
      </c>
      <c r="AL1153" s="3">
        <v>32.24</v>
      </c>
      <c r="AM1153" s="3">
        <v>125.82</v>
      </c>
      <c r="AN1153" s="3">
        <v>45.06</v>
      </c>
      <c r="AO1153" s="3">
        <v>245.0</v>
      </c>
      <c r="AP1153" s="3">
        <v>47.28</v>
      </c>
      <c r="AQ1153" s="3">
        <v>120.0</v>
      </c>
      <c r="AR1153" s="3">
        <v>15.95</v>
      </c>
      <c r="AS1153" s="3">
        <v>59.0</v>
      </c>
      <c r="AT1153" s="3">
        <v>25.0</v>
      </c>
      <c r="AU1153" s="3">
        <v>29.55</v>
      </c>
      <c r="AV1153" s="3">
        <v>89.8</v>
      </c>
      <c r="AW1153" s="3">
        <v>100.0</v>
      </c>
      <c r="AX1153" s="3">
        <v>160.0</v>
      </c>
      <c r="AY1153" s="3">
        <v>126.3</v>
      </c>
      <c r="AZ1153" s="3">
        <v>353.08</v>
      </c>
      <c r="BA1153" s="3">
        <v>62.0</v>
      </c>
      <c r="BB1153" s="3">
        <v>136.72</v>
      </c>
      <c r="BC1153" s="3">
        <v>303.49</v>
      </c>
      <c r="BD1153" s="3">
        <v>57.5</v>
      </c>
      <c r="BE1153" s="3">
        <v>9.0</v>
      </c>
      <c r="BF1153" s="3">
        <v>29.0</v>
      </c>
      <c r="BG1153" s="3">
        <v>87.5</v>
      </c>
      <c r="BH1153" s="3">
        <v>100.0</v>
      </c>
      <c r="BI1153" s="3">
        <v>100.0</v>
      </c>
      <c r="BJ1153" s="3">
        <v>61.35</v>
      </c>
      <c r="BK1153" s="3">
        <v>150.04</v>
      </c>
      <c r="BL1153" s="3">
        <v>17.98</v>
      </c>
      <c r="BM1153" s="3">
        <v>146.83</v>
      </c>
      <c r="BN1153" s="3">
        <v>65.0</v>
      </c>
      <c r="BO1153" s="3">
        <v>684.0</v>
      </c>
      <c r="BP1153" s="3">
        <v>8.0</v>
      </c>
      <c r="BQ1153" s="3">
        <v>102.94</v>
      </c>
      <c r="BR1153" s="3">
        <v>54.0</v>
      </c>
      <c r="BS1153" s="3">
        <v>13.84</v>
      </c>
      <c r="BT1153" s="3">
        <v>8.0</v>
      </c>
    </row>
    <row r="1154" ht="15.75" customHeight="1"/>
    <row r="1155" ht="15.75" customHeight="1">
      <c r="A1155" s="2" t="s">
        <v>212</v>
      </c>
      <c r="B1155" s="3">
        <v>37.31</v>
      </c>
    </row>
    <row r="1156" ht="15.75" customHeight="1">
      <c r="A1156" s="2" t="s">
        <v>108</v>
      </c>
      <c r="B1156" s="3">
        <v>1400.0</v>
      </c>
    </row>
    <row r="1157" ht="15.75" customHeight="1">
      <c r="A1157" s="2" t="s">
        <v>88</v>
      </c>
      <c r="B1157" s="3">
        <v>283.03</v>
      </c>
    </row>
    <row r="1158" ht="15.75" customHeight="1">
      <c r="A1158" s="2" t="s">
        <v>109</v>
      </c>
      <c r="B1158" s="3">
        <v>74.24</v>
      </c>
    </row>
    <row r="1159" ht="15.75" customHeight="1">
      <c r="A1159" s="2" t="s">
        <v>83</v>
      </c>
      <c r="B1159" s="3">
        <v>44.09</v>
      </c>
    </row>
    <row r="1160" ht="15.75" customHeight="1"/>
    <row r="1161" ht="15.75" customHeight="1">
      <c r="A1161" s="2" t="s">
        <v>1</v>
      </c>
      <c r="B1161" s="2">
        <f>SUM(B1152:LH1160)</f>
        <v>10415.74</v>
      </c>
    </row>
    <row r="1162" ht="15.75" customHeight="1"/>
    <row r="1163" ht="15.75" customHeight="1">
      <c r="A1163" s="1">
        <v>44986.0</v>
      </c>
    </row>
    <row r="1164" ht="15.75" customHeight="1">
      <c r="A1164" s="2" t="s">
        <v>120</v>
      </c>
    </row>
    <row r="1165" ht="15.75" customHeight="1">
      <c r="A1165" s="2" t="s">
        <v>237</v>
      </c>
      <c r="B1165" s="3">
        <v>61.35</v>
      </c>
      <c r="C1165" s="3">
        <v>20.18</v>
      </c>
      <c r="D1165" s="3">
        <v>310.0</v>
      </c>
      <c r="E1165" s="3">
        <v>96.35</v>
      </c>
      <c r="F1165" s="3">
        <v>271.4</v>
      </c>
      <c r="G1165" s="3">
        <v>68.5</v>
      </c>
      <c r="H1165" s="3">
        <v>101.2</v>
      </c>
      <c r="I1165" s="3">
        <v>93.92</v>
      </c>
      <c r="J1165" s="3">
        <v>129.6</v>
      </c>
      <c r="K1165" s="3">
        <v>258.25</v>
      </c>
      <c r="L1165" s="3">
        <v>65.16</v>
      </c>
      <c r="M1165" s="3">
        <v>28.03</v>
      </c>
      <c r="N1165" s="3">
        <v>80.31</v>
      </c>
      <c r="O1165" s="3">
        <v>159.48</v>
      </c>
      <c r="P1165" s="3">
        <v>178.27</v>
      </c>
      <c r="Q1165" s="3">
        <v>136.72</v>
      </c>
      <c r="R1165" s="3">
        <v>57.5</v>
      </c>
      <c r="S1165" s="3">
        <v>228.4</v>
      </c>
      <c r="T1165" s="3">
        <v>55.46</v>
      </c>
      <c r="U1165" s="3">
        <v>10.52</v>
      </c>
      <c r="V1165" s="3">
        <v>202.02</v>
      </c>
      <c r="W1165" s="3">
        <v>87.3</v>
      </c>
      <c r="X1165" s="3">
        <v>47.88</v>
      </c>
      <c r="Y1165" s="3">
        <v>81.9</v>
      </c>
      <c r="Z1165" s="3">
        <v>248.6</v>
      </c>
      <c r="AA1165" s="3">
        <v>154.0</v>
      </c>
      <c r="AB1165" s="3">
        <v>340.0</v>
      </c>
      <c r="AC1165" s="3">
        <v>109.04</v>
      </c>
      <c r="AD1165" s="3">
        <v>30.06</v>
      </c>
      <c r="AE1165" s="3">
        <v>28.89</v>
      </c>
      <c r="AF1165" s="3">
        <v>66.9</v>
      </c>
      <c r="AG1165" s="3">
        <v>21.98</v>
      </c>
      <c r="AH1165" s="3">
        <v>24.0</v>
      </c>
      <c r="AI1165" s="3">
        <v>75.23</v>
      </c>
      <c r="AJ1165" s="3">
        <v>150.0</v>
      </c>
      <c r="AK1165" s="3">
        <v>30.15</v>
      </c>
      <c r="AL1165" s="3">
        <v>8.99</v>
      </c>
      <c r="AM1165" s="3">
        <v>137.45</v>
      </c>
      <c r="AN1165" s="3">
        <v>199.76</v>
      </c>
      <c r="AO1165" s="3">
        <v>37.5</v>
      </c>
      <c r="AP1165" s="3">
        <v>4.39</v>
      </c>
      <c r="AQ1165" s="3">
        <v>194.69</v>
      </c>
      <c r="AR1165" s="3">
        <v>25.0</v>
      </c>
      <c r="AS1165" s="3">
        <v>288.75</v>
      </c>
      <c r="AT1165" s="3">
        <v>74.71</v>
      </c>
      <c r="AU1165" s="3">
        <v>8.5</v>
      </c>
      <c r="AV1165" s="3">
        <v>158.5</v>
      </c>
      <c r="AW1165" s="3">
        <v>148.16</v>
      </c>
      <c r="AX1165" s="3">
        <v>151.23</v>
      </c>
      <c r="AY1165" s="3">
        <v>136.45</v>
      </c>
      <c r="AZ1165" s="3">
        <v>45.0</v>
      </c>
      <c r="BA1165" s="3">
        <v>14.0</v>
      </c>
      <c r="BB1165" s="3">
        <v>73.0</v>
      </c>
      <c r="BC1165" s="3">
        <v>160.0</v>
      </c>
      <c r="BD1165" s="3">
        <v>55.96</v>
      </c>
      <c r="BE1165" s="3">
        <v>8.0</v>
      </c>
      <c r="BF1165" s="3">
        <v>65.0</v>
      </c>
      <c r="BG1165" s="3">
        <v>79.9</v>
      </c>
      <c r="BH1165" s="3">
        <v>34.9</v>
      </c>
      <c r="BI1165" s="3">
        <v>15.5</v>
      </c>
      <c r="BJ1165" s="3">
        <v>52.0</v>
      </c>
      <c r="BK1165" s="3">
        <v>67.0</v>
      </c>
      <c r="BL1165" s="3">
        <v>66.0</v>
      </c>
      <c r="BM1165" s="3">
        <v>33.0</v>
      </c>
      <c r="BN1165" s="3">
        <v>84.85</v>
      </c>
      <c r="BO1165" s="3">
        <v>91.0</v>
      </c>
      <c r="BP1165" s="3">
        <v>27.0</v>
      </c>
      <c r="BQ1165" s="3">
        <v>25.0</v>
      </c>
      <c r="BR1165" s="3">
        <v>59.72</v>
      </c>
      <c r="BS1165" s="3">
        <v>62.0</v>
      </c>
      <c r="BT1165" s="3">
        <v>28.0</v>
      </c>
      <c r="BU1165" s="3">
        <v>28.0</v>
      </c>
      <c r="BV1165" s="3">
        <v>27.64</v>
      </c>
      <c r="BW1165" s="3">
        <v>75.8</v>
      </c>
      <c r="BX1165" s="3"/>
    </row>
    <row r="1166" ht="15.75" customHeight="1">
      <c r="A1166" s="2" t="s">
        <v>244</v>
      </c>
      <c r="B1166" s="3">
        <v>158.7</v>
      </c>
    </row>
    <row r="1167" ht="15.75" customHeight="1">
      <c r="A1167" s="2" t="s">
        <v>212</v>
      </c>
      <c r="B1167" s="3">
        <v>46.82</v>
      </c>
    </row>
    <row r="1168" ht="15.75" customHeight="1">
      <c r="A1168" s="2" t="s">
        <v>108</v>
      </c>
      <c r="B1168" s="3">
        <v>4632.14</v>
      </c>
    </row>
    <row r="1169" ht="15.75" customHeight="1">
      <c r="A1169" s="2" t="s">
        <v>88</v>
      </c>
      <c r="B1169" s="3">
        <v>446.26</v>
      </c>
    </row>
    <row r="1170" ht="15.75" customHeight="1">
      <c r="A1170" s="2" t="s">
        <v>109</v>
      </c>
      <c r="B1170" s="3">
        <v>67.05</v>
      </c>
    </row>
    <row r="1171" ht="15.75" customHeight="1">
      <c r="A1171" s="2" t="s">
        <v>83</v>
      </c>
      <c r="B1171" s="3">
        <v>44.09</v>
      </c>
    </row>
    <row r="1172" ht="15.75" customHeight="1"/>
    <row r="1173" ht="15.75" customHeight="1">
      <c r="A1173" s="2" t="s">
        <v>1</v>
      </c>
      <c r="B1173" s="2">
        <f>SUM(B1163:GX1172)</f>
        <v>12355.96</v>
      </c>
    </row>
    <row r="1174" ht="15.75" customHeight="1"/>
    <row r="1175" ht="15.75" customHeight="1">
      <c r="A1175" s="1">
        <v>45017.0</v>
      </c>
    </row>
    <row r="1176" ht="15.75" customHeight="1">
      <c r="A1176" s="2" t="s">
        <v>120</v>
      </c>
    </row>
    <row r="1177" ht="15.75" customHeight="1">
      <c r="A1177" s="2" t="s">
        <v>237</v>
      </c>
      <c r="B1177" s="3">
        <v>20.18</v>
      </c>
      <c r="C1177" s="3">
        <v>94.67</v>
      </c>
      <c r="D1177" s="3">
        <v>96.33</v>
      </c>
      <c r="E1177" s="3">
        <v>271.4</v>
      </c>
      <c r="F1177" s="3">
        <v>93.92</v>
      </c>
      <c r="G1177" s="3">
        <v>129.57</v>
      </c>
      <c r="H1177" s="3">
        <v>258.25</v>
      </c>
      <c r="I1177" s="3">
        <v>310.0</v>
      </c>
      <c r="J1177" s="3">
        <v>194.69</v>
      </c>
      <c r="K1177" s="3">
        <v>84.85</v>
      </c>
      <c r="L1177" s="3">
        <v>59.65</v>
      </c>
      <c r="M1177" s="3">
        <v>209.85</v>
      </c>
      <c r="N1177" s="3">
        <v>51.0</v>
      </c>
      <c r="O1177" s="3">
        <v>299.98</v>
      </c>
      <c r="P1177" s="3">
        <v>68.92</v>
      </c>
      <c r="Q1177" s="3">
        <v>274.3</v>
      </c>
      <c r="R1177" s="3">
        <v>280.0</v>
      </c>
      <c r="S1177" s="3">
        <v>9.0</v>
      </c>
      <c r="T1177" s="3">
        <v>206.49</v>
      </c>
      <c r="U1177" s="3">
        <v>66.0</v>
      </c>
      <c r="V1177" s="3">
        <v>58.26</v>
      </c>
      <c r="W1177" s="3">
        <v>49.68</v>
      </c>
      <c r="X1177" s="3">
        <v>462.99</v>
      </c>
      <c r="Y1177" s="3">
        <v>108.68</v>
      </c>
      <c r="Z1177" s="3">
        <v>50.0</v>
      </c>
      <c r="AA1177" s="3">
        <v>157.5</v>
      </c>
      <c r="AB1177" s="3">
        <v>50.0</v>
      </c>
      <c r="AC1177" s="3">
        <v>94.0</v>
      </c>
      <c r="AD1177" s="3">
        <v>43.62</v>
      </c>
      <c r="AE1177" s="3">
        <v>32.0</v>
      </c>
      <c r="AF1177" s="3">
        <v>33.0</v>
      </c>
      <c r="AG1177" s="3">
        <v>20.0</v>
      </c>
      <c r="AH1177" s="3">
        <v>13.69</v>
      </c>
      <c r="AI1177" s="3">
        <v>57.35</v>
      </c>
      <c r="AJ1177" s="3">
        <v>8.65</v>
      </c>
      <c r="AK1177" s="3">
        <v>316.93</v>
      </c>
      <c r="AL1177" s="3">
        <v>6.0</v>
      </c>
      <c r="AM1177" s="3">
        <v>99.95</v>
      </c>
      <c r="AN1177" s="3">
        <v>213.4</v>
      </c>
      <c r="AO1177" s="3">
        <v>256.3</v>
      </c>
      <c r="AP1177" s="3">
        <v>79.59</v>
      </c>
      <c r="AQ1177" s="3">
        <v>40.76</v>
      </c>
      <c r="AR1177" s="3">
        <v>50.0</v>
      </c>
      <c r="AS1177" s="3">
        <v>66.0</v>
      </c>
      <c r="AT1177" s="3">
        <v>33.0</v>
      </c>
      <c r="AU1177" s="3">
        <v>104.5</v>
      </c>
      <c r="AV1177" s="3">
        <v>25.5</v>
      </c>
      <c r="AW1177" s="3">
        <v>65.0</v>
      </c>
      <c r="AX1177" s="3">
        <v>49.0</v>
      </c>
      <c r="AY1177" s="3">
        <v>51.0</v>
      </c>
      <c r="AZ1177" s="3">
        <v>48.15</v>
      </c>
      <c r="BA1177" s="3">
        <v>126.47</v>
      </c>
      <c r="BB1177" s="3">
        <v>47.97</v>
      </c>
      <c r="BC1177" s="3">
        <v>87.06</v>
      </c>
      <c r="BD1177" s="3">
        <v>215.71</v>
      </c>
      <c r="BE1177" s="3">
        <v>51.29</v>
      </c>
      <c r="BF1177" s="3">
        <v>36.45</v>
      </c>
      <c r="BG1177" s="3">
        <v>29.5</v>
      </c>
      <c r="BH1177" s="3">
        <v>49.11</v>
      </c>
      <c r="BI1177" s="3">
        <v>62.15</v>
      </c>
      <c r="BJ1177" s="3">
        <v>26.5</v>
      </c>
      <c r="BK1177" s="3">
        <v>66.5</v>
      </c>
      <c r="BL1177" s="3">
        <v>47.75</v>
      </c>
    </row>
    <row r="1178" ht="15.75" customHeight="1"/>
    <row r="1179" ht="15.75" customHeight="1">
      <c r="A1179" s="2" t="s">
        <v>212</v>
      </c>
      <c r="B1179" s="3">
        <v>53.0</v>
      </c>
    </row>
    <row r="1180" ht="15.75" customHeight="1">
      <c r="A1180" s="2" t="s">
        <v>108</v>
      </c>
      <c r="B1180" s="3">
        <v>123.5</v>
      </c>
      <c r="C1180" s="3">
        <v>3000.0</v>
      </c>
    </row>
    <row r="1181" ht="15.75" customHeight="1">
      <c r="A1181" s="2" t="s">
        <v>88</v>
      </c>
      <c r="B1181" s="3">
        <v>416.64</v>
      </c>
    </row>
    <row r="1182" ht="15.75" customHeight="1">
      <c r="A1182" s="2" t="s">
        <v>109</v>
      </c>
      <c r="B1182" s="3">
        <v>67.05</v>
      </c>
    </row>
    <row r="1183" ht="15.75" customHeight="1">
      <c r="A1183" s="2" t="s">
        <v>83</v>
      </c>
      <c r="B1183" s="3">
        <v>44.09</v>
      </c>
    </row>
    <row r="1184" ht="15.75" customHeight="1"/>
    <row r="1185" ht="15.75" customHeight="1">
      <c r="A1185" s="2" t="s">
        <v>1</v>
      </c>
      <c r="B1185" s="2">
        <f>SUM(B1175:EL1184)</f>
        <v>10374.29</v>
      </c>
    </row>
    <row r="1186" ht="15.75" customHeight="1"/>
    <row r="1187" ht="15.75" customHeight="1">
      <c r="A1187" s="1">
        <v>45047.0</v>
      </c>
    </row>
    <row r="1188" ht="15.75" customHeight="1">
      <c r="A1188" s="2" t="s">
        <v>120</v>
      </c>
    </row>
    <row r="1189" ht="15.75" customHeight="1">
      <c r="A1189" s="2" t="s">
        <v>237</v>
      </c>
      <c r="B1189" s="3">
        <v>93.92</v>
      </c>
      <c r="C1189" s="3">
        <v>129.57</v>
      </c>
      <c r="D1189" s="3">
        <v>640.0</v>
      </c>
      <c r="E1189" s="3">
        <v>194.69</v>
      </c>
      <c r="F1189" s="3">
        <v>59.64</v>
      </c>
      <c r="G1189" s="3">
        <v>209.85</v>
      </c>
      <c r="H1189" s="3">
        <v>299.98</v>
      </c>
      <c r="I1189" s="3">
        <v>256.3</v>
      </c>
      <c r="J1189" s="3">
        <v>99.95</v>
      </c>
      <c r="K1189" s="3">
        <v>36.45</v>
      </c>
      <c r="L1189" s="3">
        <v>48.15</v>
      </c>
      <c r="M1189" s="3">
        <v>104.5</v>
      </c>
      <c r="N1189" s="3">
        <v>93.92</v>
      </c>
      <c r="O1189" s="3">
        <v>82.03</v>
      </c>
      <c r="P1189" s="3">
        <v>20.5</v>
      </c>
      <c r="Q1189" s="3">
        <v>318.0</v>
      </c>
      <c r="R1189" s="3">
        <v>8.0</v>
      </c>
      <c r="S1189" s="3">
        <v>101.79</v>
      </c>
      <c r="T1189" s="3">
        <v>80.13</v>
      </c>
      <c r="U1189" s="3">
        <v>180.01</v>
      </c>
      <c r="V1189" s="3">
        <v>154.0</v>
      </c>
      <c r="W1189" s="3">
        <v>69.4</v>
      </c>
      <c r="X1189" s="3">
        <v>250.02</v>
      </c>
      <c r="Y1189" s="3">
        <v>133.65</v>
      </c>
      <c r="Z1189" s="3">
        <v>65.0</v>
      </c>
      <c r="AA1189" s="3">
        <v>17.5</v>
      </c>
      <c r="AB1189" s="3">
        <v>26.36</v>
      </c>
      <c r="AC1189" s="3">
        <v>450.0</v>
      </c>
      <c r="AD1189" s="3">
        <v>66.0</v>
      </c>
      <c r="AE1189" s="3">
        <v>35.0</v>
      </c>
      <c r="AF1189" s="3">
        <v>65.0</v>
      </c>
      <c r="AG1189" s="3">
        <v>97.5</v>
      </c>
      <c r="AH1189" s="3">
        <v>110.55</v>
      </c>
      <c r="AI1189" s="3">
        <v>78.33</v>
      </c>
      <c r="AJ1189" s="3">
        <v>75.84</v>
      </c>
      <c r="AK1189" s="3">
        <v>5.0</v>
      </c>
      <c r="AL1189" s="3">
        <v>22.98</v>
      </c>
      <c r="AM1189" s="3">
        <v>24.9</v>
      </c>
      <c r="AN1189" s="3">
        <v>6.0</v>
      </c>
      <c r="AO1189" s="3">
        <v>14.85</v>
      </c>
      <c r="AP1189" s="3">
        <v>41.81</v>
      </c>
      <c r="AQ1189" s="3">
        <v>89.0</v>
      </c>
      <c r="AR1189" s="3">
        <v>187.52</v>
      </c>
      <c r="AS1189" s="3">
        <v>95.48</v>
      </c>
      <c r="AT1189" s="3">
        <v>21.0</v>
      </c>
      <c r="AU1189" s="3">
        <v>194.72</v>
      </c>
      <c r="AV1189" s="3">
        <v>213.4</v>
      </c>
      <c r="AW1189" s="3">
        <v>61.0</v>
      </c>
      <c r="AX1189" s="3">
        <v>565.0</v>
      </c>
      <c r="AY1189" s="3">
        <v>80.0</v>
      </c>
      <c r="AZ1189" s="3">
        <v>10.5</v>
      </c>
      <c r="BA1189" s="3">
        <v>18.98</v>
      </c>
      <c r="BB1189" s="3">
        <v>44.95</v>
      </c>
      <c r="BC1189" s="3">
        <v>59.85</v>
      </c>
      <c r="BD1189" s="3">
        <v>46.0</v>
      </c>
      <c r="BE1189" s="3">
        <v>31.0</v>
      </c>
      <c r="BF1189" s="3">
        <v>31.11</v>
      </c>
      <c r="BG1189" s="3">
        <v>40.0</v>
      </c>
      <c r="BH1189" s="3">
        <v>42.46</v>
      </c>
      <c r="BI1189" s="3">
        <v>56.0</v>
      </c>
      <c r="BJ1189" s="3">
        <v>12.0</v>
      </c>
      <c r="BK1189" s="3">
        <v>25.8</v>
      </c>
      <c r="BL1189" s="3">
        <v>6.3</v>
      </c>
      <c r="BM1189" s="3">
        <v>81.5</v>
      </c>
      <c r="BN1189" s="3">
        <v>80.56</v>
      </c>
      <c r="BO1189" s="3">
        <v>75.0</v>
      </c>
      <c r="BP1189" s="3">
        <v>180.0</v>
      </c>
    </row>
    <row r="1190" ht="15.75" customHeight="1">
      <c r="A1190" s="2" t="s">
        <v>245</v>
      </c>
      <c r="B1190" s="3">
        <v>37.85</v>
      </c>
    </row>
    <row r="1191" ht="15.75" customHeight="1">
      <c r="A1191" s="2" t="s">
        <v>212</v>
      </c>
      <c r="B1191" s="3">
        <v>53.0</v>
      </c>
    </row>
    <row r="1192" ht="15.75" customHeight="1">
      <c r="A1192" s="2" t="s">
        <v>108</v>
      </c>
      <c r="B1192" s="3">
        <v>3600.0</v>
      </c>
      <c r="C1192" s="3">
        <v>50.0</v>
      </c>
    </row>
    <row r="1193" ht="15.75" customHeight="1">
      <c r="A1193" s="2" t="s">
        <v>88</v>
      </c>
      <c r="B1193" s="3">
        <v>294.76</v>
      </c>
    </row>
    <row r="1194" ht="15.75" customHeight="1">
      <c r="A1194" s="2" t="s">
        <v>109</v>
      </c>
      <c r="B1194" s="3">
        <v>67.05</v>
      </c>
    </row>
    <row r="1195" ht="15.75" customHeight="1">
      <c r="A1195" s="2" t="s">
        <v>83</v>
      </c>
      <c r="B1195" s="3">
        <v>44.09</v>
      </c>
    </row>
    <row r="1196" ht="15.75" customHeight="1"/>
    <row r="1197" ht="15.75" customHeight="1">
      <c r="A1197" s="2" t="s">
        <v>1</v>
      </c>
      <c r="B1197" s="2">
        <f>SUM(B1188:CG1196)</f>
        <v>11362.95</v>
      </c>
    </row>
    <row r="1198" ht="15.75" customHeight="1"/>
    <row r="1199" ht="15.75" customHeight="1">
      <c r="A1199" s="1">
        <v>45078.0</v>
      </c>
    </row>
    <row r="1200" ht="15.75" customHeight="1">
      <c r="A1200" s="2" t="s">
        <v>120</v>
      </c>
    </row>
    <row r="1201" ht="15.75" customHeight="1">
      <c r="A1201" s="2" t="s">
        <v>237</v>
      </c>
      <c r="C1201" s="3">
        <v>194.69</v>
      </c>
      <c r="D1201" s="3">
        <v>209.85</v>
      </c>
      <c r="E1201" s="3">
        <v>299.98</v>
      </c>
      <c r="F1201" s="3">
        <v>256.3</v>
      </c>
      <c r="G1201" s="3">
        <v>99.95</v>
      </c>
      <c r="H1201" s="3">
        <v>36.42</v>
      </c>
      <c r="I1201" s="3">
        <v>48.15</v>
      </c>
      <c r="J1201" s="3">
        <v>101.79</v>
      </c>
      <c r="K1201" s="3">
        <v>80.13</v>
      </c>
      <c r="L1201" s="3">
        <v>44.95</v>
      </c>
      <c r="M1201" s="3">
        <v>65.9</v>
      </c>
      <c r="N1201" s="3">
        <v>18.5</v>
      </c>
    </row>
    <row r="1202" ht="15.75" customHeight="1">
      <c r="A1202" s="2" t="s">
        <v>246</v>
      </c>
      <c r="B1202" s="3">
        <v>140.0</v>
      </c>
      <c r="C1202" s="3">
        <v>67.0</v>
      </c>
      <c r="D1202" s="3">
        <v>71.0</v>
      </c>
      <c r="E1202" s="3">
        <v>66.92</v>
      </c>
      <c r="F1202" s="3">
        <v>85.0</v>
      </c>
      <c r="G1202" s="3">
        <v>6.0</v>
      </c>
      <c r="H1202" s="3">
        <v>21.0</v>
      </c>
      <c r="I1202" s="3">
        <v>100.0</v>
      </c>
      <c r="J1202" s="3">
        <v>61.0</v>
      </c>
      <c r="K1202" s="3">
        <v>38.0</v>
      </c>
      <c r="L1202" s="3">
        <v>36.0</v>
      </c>
      <c r="M1202" s="3">
        <v>84.0</v>
      </c>
      <c r="N1202" s="3">
        <v>80.0</v>
      </c>
      <c r="O1202" s="3">
        <v>100.0</v>
      </c>
      <c r="P1202" s="3">
        <v>50.0</v>
      </c>
      <c r="Q1202" s="3">
        <v>4.5</v>
      </c>
      <c r="R1202" s="3">
        <v>61.25</v>
      </c>
      <c r="S1202" s="3">
        <v>94.4</v>
      </c>
      <c r="T1202" s="3">
        <v>15.5</v>
      </c>
      <c r="U1202" s="3">
        <v>59.88</v>
      </c>
      <c r="V1202" s="3">
        <v>16.0</v>
      </c>
      <c r="W1202" s="3">
        <v>63.0</v>
      </c>
      <c r="X1202" s="3">
        <v>100.17</v>
      </c>
      <c r="Y1202" s="3">
        <v>99.0</v>
      </c>
      <c r="Z1202" s="3">
        <v>25.0</v>
      </c>
      <c r="AA1202" s="3">
        <v>46.0</v>
      </c>
      <c r="AB1202" s="3">
        <v>29.99</v>
      </c>
      <c r="AC1202" s="3">
        <v>50.0</v>
      </c>
      <c r="AD1202" s="3">
        <v>100.0</v>
      </c>
      <c r="AE1202" s="3">
        <v>228.8</v>
      </c>
      <c r="AF1202" s="3">
        <v>99.82</v>
      </c>
      <c r="AG1202" s="3">
        <v>201.6</v>
      </c>
      <c r="AH1202" s="3">
        <v>315.0</v>
      </c>
      <c r="AI1202" s="3">
        <v>109.9</v>
      </c>
      <c r="AJ1202" s="3">
        <v>65.0</v>
      </c>
      <c r="AK1202" s="3">
        <v>50.0</v>
      </c>
      <c r="AL1202" s="3">
        <v>61.57</v>
      </c>
      <c r="AM1202" s="3">
        <v>220.66</v>
      </c>
      <c r="AN1202" s="3">
        <v>150.0</v>
      </c>
      <c r="AO1202" s="3">
        <v>10.5</v>
      </c>
      <c r="AP1202" s="3">
        <v>99.78</v>
      </c>
      <c r="AQ1202" s="3">
        <v>330.0</v>
      </c>
      <c r="AR1202" s="3">
        <v>9.81</v>
      </c>
      <c r="AS1202" s="3">
        <v>67.67</v>
      </c>
      <c r="AT1202" s="3">
        <v>26.0</v>
      </c>
      <c r="AU1202" s="3">
        <v>129.0</v>
      </c>
      <c r="AV1202" s="3">
        <v>69.0</v>
      </c>
      <c r="AW1202" s="3">
        <v>105.0</v>
      </c>
      <c r="AX1202" s="3">
        <v>90.0</v>
      </c>
      <c r="AY1202" s="3">
        <v>150.43</v>
      </c>
      <c r="AZ1202" s="3">
        <v>40.83</v>
      </c>
      <c r="BA1202" s="3">
        <v>164.22</v>
      </c>
      <c r="BB1202" s="3">
        <v>21.0</v>
      </c>
      <c r="BC1202" s="3">
        <v>50.0</v>
      </c>
      <c r="BD1202" s="3">
        <v>28.0</v>
      </c>
      <c r="BE1202" s="3">
        <v>95.95</v>
      </c>
      <c r="BF1202" s="3">
        <v>25.0</v>
      </c>
      <c r="BG1202" s="3">
        <v>262.0</v>
      </c>
      <c r="BH1202" s="3">
        <v>255.0</v>
      </c>
    </row>
    <row r="1203" ht="15.75" customHeight="1">
      <c r="A1203" s="2" t="s">
        <v>212</v>
      </c>
      <c r="B1203" s="3">
        <v>53.0</v>
      </c>
      <c r="C1203" s="3"/>
    </row>
    <row r="1204" ht="15.75" customHeight="1">
      <c r="A1204" s="2" t="s">
        <v>108</v>
      </c>
      <c r="B1204" s="3">
        <v>50.0</v>
      </c>
      <c r="C1204" s="3">
        <v>50.0</v>
      </c>
    </row>
    <row r="1205" ht="15.75" customHeight="1">
      <c r="A1205" s="2" t="s">
        <v>88</v>
      </c>
      <c r="B1205" s="3">
        <v>366.21</v>
      </c>
    </row>
    <row r="1206" ht="15.75" customHeight="1">
      <c r="A1206" s="2" t="s">
        <v>109</v>
      </c>
      <c r="B1206" s="3">
        <v>67.05</v>
      </c>
    </row>
    <row r="1207" ht="15.75" customHeight="1">
      <c r="A1207" s="2" t="s">
        <v>83</v>
      </c>
      <c r="B1207" s="3">
        <v>44.09</v>
      </c>
    </row>
    <row r="1208" ht="15.75" customHeight="1"/>
    <row r="1209" ht="15.75" customHeight="1">
      <c r="A1209" s="2" t="s">
        <v>1</v>
      </c>
      <c r="B1209" s="2">
        <f>SUM(B1200:GX1208)</f>
        <v>7389.11</v>
      </c>
    </row>
    <row r="1210" ht="15.75" customHeight="1"/>
    <row r="1211" ht="15.75" customHeight="1">
      <c r="A1211" s="1">
        <v>45108.0</v>
      </c>
    </row>
    <row r="1212" ht="15.75" customHeight="1">
      <c r="A1212" s="2" t="s">
        <v>120</v>
      </c>
    </row>
    <row r="1213" ht="15.75" customHeight="1">
      <c r="A1213" s="2" t="s">
        <v>237</v>
      </c>
      <c r="B1213" s="3">
        <v>73.98</v>
      </c>
      <c r="C1213" s="3">
        <v>194.69</v>
      </c>
      <c r="D1213" s="3">
        <v>209.85</v>
      </c>
      <c r="E1213" s="3">
        <v>299.99</v>
      </c>
      <c r="F1213" s="3">
        <v>256.3</v>
      </c>
      <c r="G1213" s="3">
        <v>99.95</v>
      </c>
      <c r="H1213" s="3">
        <v>36.45</v>
      </c>
      <c r="I1213" s="3">
        <v>48.15</v>
      </c>
      <c r="J1213" s="3">
        <v>59.29</v>
      </c>
      <c r="K1213" s="3">
        <v>39.31</v>
      </c>
      <c r="L1213" s="3">
        <v>63.6</v>
      </c>
      <c r="M1213" s="3">
        <v>29.0</v>
      </c>
      <c r="N1213" s="3">
        <v>68.83</v>
      </c>
      <c r="O1213" s="3">
        <v>126.34</v>
      </c>
      <c r="P1213" s="3">
        <v>28.0</v>
      </c>
      <c r="Q1213" s="3">
        <v>38.75</v>
      </c>
      <c r="R1213" s="3">
        <v>29.88</v>
      </c>
      <c r="S1213" s="3">
        <v>138.6</v>
      </c>
      <c r="T1213" s="3">
        <v>180.2</v>
      </c>
      <c r="U1213" s="3">
        <v>14.99</v>
      </c>
      <c r="V1213" s="3">
        <v>250.0</v>
      </c>
      <c r="W1213" s="3">
        <v>4.0</v>
      </c>
      <c r="X1213" s="3">
        <v>285.67</v>
      </c>
      <c r="Y1213" s="3">
        <v>6.08</v>
      </c>
      <c r="Z1213" s="3">
        <v>54.0</v>
      </c>
      <c r="AA1213" s="3">
        <v>34.0</v>
      </c>
      <c r="AB1213" s="3">
        <v>31.0</v>
      </c>
      <c r="AC1213" s="3">
        <v>17.0</v>
      </c>
      <c r="AD1213" s="3">
        <v>16.0</v>
      </c>
    </row>
    <row r="1214" ht="15.75" customHeight="1">
      <c r="A1214" s="2" t="s">
        <v>246</v>
      </c>
      <c r="B1214" s="3">
        <v>100.0</v>
      </c>
      <c r="C1214" s="3">
        <v>84.0</v>
      </c>
      <c r="D1214" s="3">
        <v>61.25</v>
      </c>
      <c r="E1214" s="3">
        <v>59.88</v>
      </c>
      <c r="F1214" s="3">
        <v>630.0</v>
      </c>
      <c r="G1214" s="3">
        <v>109.9</v>
      </c>
      <c r="H1214" s="3">
        <v>61.57</v>
      </c>
      <c r="I1214" s="3">
        <v>361.2</v>
      </c>
      <c r="J1214" s="3">
        <v>137.98</v>
      </c>
      <c r="K1214" s="3">
        <v>129.5</v>
      </c>
      <c r="L1214" s="3">
        <v>28.97</v>
      </c>
      <c r="M1214" s="3">
        <v>35.0</v>
      </c>
      <c r="N1214" s="3">
        <v>8.5</v>
      </c>
      <c r="O1214" s="3">
        <v>30.04</v>
      </c>
      <c r="P1214" s="3">
        <v>81.51</v>
      </c>
      <c r="Q1214" s="3">
        <v>46.74</v>
      </c>
      <c r="R1214" s="3">
        <v>206.3</v>
      </c>
      <c r="S1214" s="3">
        <v>139.21</v>
      </c>
      <c r="T1214" s="3">
        <v>67.89</v>
      </c>
      <c r="U1214" s="3">
        <v>20.0</v>
      </c>
      <c r="V1214" s="3">
        <v>22.0</v>
      </c>
      <c r="W1214" s="3">
        <v>15.0</v>
      </c>
      <c r="X1214" s="3">
        <v>13.75</v>
      </c>
      <c r="Y1214" s="3">
        <v>40.0</v>
      </c>
      <c r="Z1214" s="3">
        <v>40.0</v>
      </c>
      <c r="AA1214" s="3">
        <v>40.0</v>
      </c>
      <c r="AB1214" s="3">
        <v>19.0</v>
      </c>
      <c r="AC1214" s="3">
        <v>60.0</v>
      </c>
      <c r="AD1214" s="3">
        <v>195.0</v>
      </c>
      <c r="AE1214" s="3">
        <v>14.0</v>
      </c>
      <c r="AF1214" s="3">
        <v>286.83</v>
      </c>
      <c r="AG1214" s="3">
        <v>101.71</v>
      </c>
      <c r="AH1214" s="3">
        <v>118.96</v>
      </c>
      <c r="AI1214" s="3">
        <v>41.99</v>
      </c>
      <c r="AJ1214" s="3">
        <v>22.92</v>
      </c>
      <c r="AK1214" s="3">
        <v>18.0</v>
      </c>
      <c r="AL1214" s="3">
        <v>107.71</v>
      </c>
      <c r="AM1214" s="3">
        <v>206.31</v>
      </c>
      <c r="AN1214" s="3">
        <v>228.0</v>
      </c>
      <c r="AO1214" s="3">
        <v>411.9</v>
      </c>
      <c r="AP1214" s="3">
        <v>58.55</v>
      </c>
      <c r="AQ1214" s="3">
        <v>18.49</v>
      </c>
      <c r="AR1214" s="3">
        <v>107.82</v>
      </c>
      <c r="AS1214" s="3">
        <v>54.46</v>
      </c>
      <c r="AT1214" s="3">
        <v>80.0</v>
      </c>
      <c r="AU1214" s="3">
        <v>12.21</v>
      </c>
      <c r="AV1214" s="3">
        <v>70.0</v>
      </c>
      <c r="AW1214" s="3">
        <v>53.24</v>
      </c>
      <c r="AX1214" s="3">
        <v>49.9</v>
      </c>
      <c r="AY1214" s="3">
        <v>65.0</v>
      </c>
      <c r="AZ1214" s="3">
        <v>114.9</v>
      </c>
      <c r="BA1214" s="3">
        <v>195.74</v>
      </c>
      <c r="BB1214" s="3">
        <v>200.0</v>
      </c>
      <c r="BC1214" s="3">
        <v>155.0</v>
      </c>
      <c r="BD1214" s="3">
        <v>110.0</v>
      </c>
      <c r="BE1214" s="3">
        <v>45.0</v>
      </c>
      <c r="BF1214" s="3">
        <v>370.0</v>
      </c>
      <c r="BG1214" s="3">
        <v>91.0</v>
      </c>
      <c r="BH1214" s="3">
        <v>46.98</v>
      </c>
      <c r="BI1214" s="3">
        <v>16.9</v>
      </c>
      <c r="BJ1214" s="3">
        <v>100.0</v>
      </c>
      <c r="BK1214" s="3">
        <v>100.0</v>
      </c>
      <c r="BL1214" s="3">
        <v>66.0</v>
      </c>
      <c r="BM1214" s="3">
        <v>26.0</v>
      </c>
      <c r="BN1214" s="3">
        <v>19.79</v>
      </c>
      <c r="BO1214" s="3">
        <v>61.0</v>
      </c>
      <c r="BP1214" s="3">
        <v>170.0</v>
      </c>
      <c r="BQ1214" s="3">
        <v>64.93</v>
      </c>
      <c r="BR1214" s="3">
        <v>125.9</v>
      </c>
      <c r="BS1214" s="3">
        <v>166.1</v>
      </c>
      <c r="BT1214" s="3">
        <v>37.0</v>
      </c>
      <c r="BU1214" s="3">
        <v>7.38</v>
      </c>
      <c r="BV1214" s="3">
        <v>26.32</v>
      </c>
      <c r="BW1214" s="3">
        <v>25.0</v>
      </c>
      <c r="BX1214" s="3">
        <v>49.19</v>
      </c>
      <c r="BY1214" s="3">
        <v>154.0</v>
      </c>
      <c r="BZ1214" s="3">
        <v>100.0</v>
      </c>
    </row>
    <row r="1215" ht="15.75" customHeight="1">
      <c r="A1215" s="2" t="s">
        <v>212</v>
      </c>
      <c r="B1215" s="3">
        <v>53.0</v>
      </c>
    </row>
    <row r="1216" ht="15.75" customHeight="1">
      <c r="A1216" s="2" t="s">
        <v>108</v>
      </c>
      <c r="B1216" s="3">
        <v>1964.35</v>
      </c>
      <c r="C1216" s="3"/>
    </row>
    <row r="1217" ht="15.75" customHeight="1">
      <c r="A1217" s="2" t="s">
        <v>247</v>
      </c>
      <c r="B1217" s="3">
        <v>1500.0</v>
      </c>
      <c r="C1217" s="3"/>
    </row>
    <row r="1218" ht="15.75" customHeight="1">
      <c r="A1218" s="2" t="s">
        <v>88</v>
      </c>
      <c r="B1218" s="3">
        <v>322.67</v>
      </c>
      <c r="D1218" s="2" t="s">
        <v>118</v>
      </c>
      <c r="E1218" s="3">
        <v>142.69</v>
      </c>
    </row>
    <row r="1219" ht="15.75" customHeight="1">
      <c r="A1219" s="2" t="s">
        <v>109</v>
      </c>
      <c r="B1219" s="3">
        <v>67.05</v>
      </c>
    </row>
    <row r="1220" ht="15.75" customHeight="1">
      <c r="A1220" s="2" t="s">
        <v>83</v>
      </c>
      <c r="B1220" s="3">
        <v>44.09</v>
      </c>
      <c r="D1220" s="2" t="s">
        <v>51</v>
      </c>
      <c r="E1220" s="3">
        <v>123.0</v>
      </c>
    </row>
    <row r="1221" ht="15.75" customHeight="1"/>
    <row r="1222" ht="15.75" customHeight="1">
      <c r="A1222" s="2" t="s">
        <v>1</v>
      </c>
      <c r="B1222" s="2">
        <f>SUM(B1212:CB1221)</f>
        <v>14567.07</v>
      </c>
    </row>
    <row r="1223" ht="15.75" customHeight="1"/>
    <row r="1224" ht="15.75" customHeight="1">
      <c r="A1224" s="1">
        <v>45139.0</v>
      </c>
    </row>
    <row r="1225" ht="15.75" customHeight="1">
      <c r="A1225" s="2" t="s">
        <v>120</v>
      </c>
    </row>
    <row r="1226" ht="15.75" customHeight="1">
      <c r="A1226" s="2" t="s">
        <v>237</v>
      </c>
      <c r="B1226" s="3">
        <v>126.34</v>
      </c>
      <c r="C1226" s="3">
        <v>194.69</v>
      </c>
      <c r="D1226" s="3">
        <v>256.3</v>
      </c>
      <c r="E1226" s="3">
        <v>59.29</v>
      </c>
      <c r="F1226" s="3">
        <v>68.82</v>
      </c>
      <c r="G1226" s="3">
        <v>140.0</v>
      </c>
      <c r="H1226" s="3">
        <v>22.0</v>
      </c>
      <c r="I1226" s="3">
        <v>8.0</v>
      </c>
      <c r="J1226" s="3">
        <v>50.25</v>
      </c>
      <c r="K1226" s="3">
        <v>48.0</v>
      </c>
      <c r="L1226" s="3">
        <v>83.0</v>
      </c>
      <c r="M1226" s="3">
        <v>230.21</v>
      </c>
      <c r="N1226" s="3">
        <v>35.0</v>
      </c>
      <c r="O1226" s="3">
        <v>60.0</v>
      </c>
      <c r="P1226" s="3">
        <v>13.0</v>
      </c>
      <c r="Q1226" s="3">
        <v>30.0</v>
      </c>
      <c r="R1226" s="3">
        <v>56.0</v>
      </c>
      <c r="S1226" s="3">
        <v>179.49</v>
      </c>
      <c r="T1226" s="3">
        <v>67.0</v>
      </c>
      <c r="U1226" s="3">
        <v>28.9</v>
      </c>
      <c r="V1226" s="3">
        <v>19.99</v>
      </c>
      <c r="W1226" s="3">
        <v>100.0</v>
      </c>
      <c r="X1226" s="3">
        <v>22.2</v>
      </c>
      <c r="Y1226" s="3">
        <v>100.06</v>
      </c>
      <c r="Z1226" s="3">
        <v>64.0</v>
      </c>
      <c r="AA1226" s="3">
        <v>31.5</v>
      </c>
      <c r="AB1226" s="3">
        <v>38.54</v>
      </c>
      <c r="AC1226" s="3">
        <v>58.0</v>
      </c>
      <c r="AD1226" s="3">
        <v>9.0</v>
      </c>
      <c r="AE1226" s="3">
        <v>8.89</v>
      </c>
      <c r="AF1226" s="3">
        <v>61.0</v>
      </c>
      <c r="AG1226" s="3">
        <v>156.66</v>
      </c>
      <c r="AH1226" s="3">
        <v>213.95</v>
      </c>
      <c r="AI1226" s="3">
        <v>30.0</v>
      </c>
      <c r="AJ1226" s="3">
        <v>69.7</v>
      </c>
      <c r="AK1226" s="3">
        <v>30.0</v>
      </c>
      <c r="AL1226" s="3">
        <v>38.0</v>
      </c>
      <c r="AM1226" s="3">
        <v>60.0</v>
      </c>
      <c r="AN1226" s="3">
        <v>24.0</v>
      </c>
      <c r="AO1226" s="3">
        <v>194.68</v>
      </c>
      <c r="AP1226" s="3">
        <v>206.84</v>
      </c>
      <c r="AQ1226" s="3">
        <v>22.0</v>
      </c>
      <c r="AR1226" s="3">
        <v>72.0</v>
      </c>
    </row>
    <row r="1227" ht="15.75" customHeight="1">
      <c r="A1227" s="2" t="s">
        <v>246</v>
      </c>
      <c r="B1227" s="3">
        <v>100.0</v>
      </c>
      <c r="C1227" s="3">
        <v>61.25</v>
      </c>
      <c r="D1227" s="3">
        <v>59.88</v>
      </c>
      <c r="E1227" s="3">
        <v>845.0</v>
      </c>
      <c r="F1227" s="3">
        <v>109.9</v>
      </c>
      <c r="G1227" s="3">
        <v>61.56</v>
      </c>
      <c r="H1227" s="3">
        <v>129.5</v>
      </c>
      <c r="I1227" s="3">
        <v>195.0</v>
      </c>
      <c r="J1227" s="3">
        <v>107.71</v>
      </c>
      <c r="K1227" s="3">
        <v>206.31</v>
      </c>
      <c r="L1227" s="3">
        <v>228.0</v>
      </c>
      <c r="M1227" s="3">
        <v>411.9</v>
      </c>
      <c r="N1227" s="3">
        <v>112.35</v>
      </c>
      <c r="O1227" s="3">
        <v>68.24</v>
      </c>
      <c r="P1227" s="3">
        <v>180.55</v>
      </c>
      <c r="Q1227" s="3">
        <v>152.68</v>
      </c>
      <c r="R1227" s="3">
        <v>56.66</v>
      </c>
      <c r="S1227" s="3">
        <v>150.0</v>
      </c>
      <c r="T1227" s="3">
        <v>33.0</v>
      </c>
      <c r="U1227" s="3">
        <v>34.0</v>
      </c>
      <c r="V1227" s="3">
        <v>42.0</v>
      </c>
      <c r="W1227" s="3">
        <v>138.0</v>
      </c>
      <c r="X1227" s="3">
        <v>35.6</v>
      </c>
      <c r="Y1227" s="3">
        <v>232.19</v>
      </c>
      <c r="Z1227" s="3">
        <v>141.0</v>
      </c>
      <c r="AA1227" s="3">
        <v>210.61</v>
      </c>
      <c r="AB1227" s="3">
        <v>100.0</v>
      </c>
      <c r="AC1227" s="3">
        <v>30.0</v>
      </c>
      <c r="AD1227" s="3">
        <v>70.92</v>
      </c>
      <c r="AE1227" s="3">
        <v>90.0</v>
      </c>
      <c r="AF1227" s="3">
        <v>216.88</v>
      </c>
      <c r="AG1227" s="3">
        <v>100.0</v>
      </c>
      <c r="AH1227" s="3">
        <v>164.22</v>
      </c>
      <c r="AI1227" s="3">
        <v>110.0</v>
      </c>
      <c r="AJ1227" s="3">
        <v>48.62</v>
      </c>
      <c r="AK1227" s="3">
        <v>98.09</v>
      </c>
      <c r="AL1227" s="3">
        <v>65.0</v>
      </c>
      <c r="AM1227" s="3">
        <v>10.0</v>
      </c>
      <c r="AN1227" s="3">
        <v>64.9</v>
      </c>
      <c r="AO1227" s="3">
        <v>13.0</v>
      </c>
      <c r="AP1227" s="3">
        <v>82.55</v>
      </c>
      <c r="AQ1227" s="3">
        <v>72.03</v>
      </c>
      <c r="AR1227" s="3">
        <v>215.0</v>
      </c>
      <c r="AS1227" s="3">
        <v>20.0</v>
      </c>
      <c r="AT1227" s="3">
        <v>75.0</v>
      </c>
      <c r="AU1227" s="3">
        <v>40.0</v>
      </c>
      <c r="AV1227" s="3">
        <v>21.78</v>
      </c>
      <c r="AW1227" s="3">
        <v>40.0</v>
      </c>
      <c r="AX1227" s="3">
        <v>46.0</v>
      </c>
      <c r="AY1227" s="3">
        <v>150.0</v>
      </c>
      <c r="AZ1227" s="3">
        <v>49.9</v>
      </c>
      <c r="BA1227" s="3">
        <v>180.0</v>
      </c>
      <c r="BB1227" s="3">
        <v>24.8</v>
      </c>
      <c r="BC1227" s="3">
        <v>43.76</v>
      </c>
      <c r="BD1227" s="3">
        <v>84.96</v>
      </c>
      <c r="BE1227" s="3">
        <v>28.0</v>
      </c>
      <c r="BF1227" s="3">
        <v>17.0</v>
      </c>
      <c r="BG1227" s="3">
        <v>18.0</v>
      </c>
      <c r="BH1227" s="3">
        <v>16.0</v>
      </c>
      <c r="BI1227" s="3">
        <v>11.0</v>
      </c>
      <c r="BJ1227" s="3">
        <v>19.0</v>
      </c>
      <c r="BK1227" s="3">
        <v>76.7</v>
      </c>
      <c r="BL1227" s="3">
        <v>76.56</v>
      </c>
      <c r="BM1227" s="3">
        <v>7.0</v>
      </c>
      <c r="BN1227" s="3">
        <v>89.5</v>
      </c>
      <c r="BO1227" s="3">
        <v>272.55</v>
      </c>
      <c r="BP1227" s="3">
        <v>133.8</v>
      </c>
      <c r="BQ1227" s="3">
        <v>48.4</v>
      </c>
      <c r="BR1227" s="3">
        <v>28.88</v>
      </c>
      <c r="BS1227" s="3">
        <v>30.0</v>
      </c>
      <c r="BT1227" s="3">
        <v>42.71</v>
      </c>
      <c r="BU1227" s="3">
        <v>47.9</v>
      </c>
      <c r="BV1227" s="3">
        <v>8.0</v>
      </c>
      <c r="BW1227" s="3">
        <v>60.86</v>
      </c>
      <c r="BX1227" s="3">
        <v>42.0</v>
      </c>
      <c r="BY1227" s="3">
        <v>85.0</v>
      </c>
      <c r="BZ1227" s="3">
        <v>75.0</v>
      </c>
      <c r="CA1227" s="3">
        <v>36.0</v>
      </c>
      <c r="CB1227" s="3">
        <v>21.0</v>
      </c>
    </row>
    <row r="1228" ht="15.75" customHeight="1">
      <c r="A1228" s="2" t="s">
        <v>212</v>
      </c>
      <c r="B1228" s="3">
        <v>53.0</v>
      </c>
    </row>
    <row r="1229" ht="15.75" customHeight="1">
      <c r="A1229" s="2" t="s">
        <v>108</v>
      </c>
      <c r="B1229" s="3">
        <v>1150.0</v>
      </c>
      <c r="D1229" s="2" t="s">
        <v>248</v>
      </c>
      <c r="E1229" s="3">
        <v>1500.0</v>
      </c>
    </row>
    <row r="1230" ht="15.75" customHeight="1">
      <c r="A1230" s="2" t="s">
        <v>88</v>
      </c>
      <c r="B1230" s="3">
        <v>305.83</v>
      </c>
    </row>
    <row r="1231" ht="15.75" customHeight="1">
      <c r="A1231" s="2" t="s">
        <v>109</v>
      </c>
      <c r="B1231" s="3">
        <v>67.05</v>
      </c>
    </row>
    <row r="1232" ht="15.75" customHeight="1">
      <c r="A1232" s="2" t="s">
        <v>83</v>
      </c>
      <c r="B1232" s="3">
        <v>44.09</v>
      </c>
    </row>
    <row r="1233" ht="15.75" customHeight="1">
      <c r="A1233" s="2" t="s">
        <v>247</v>
      </c>
      <c r="B1233" s="3">
        <v>2000.0</v>
      </c>
    </row>
    <row r="1234" ht="15.75" customHeight="1">
      <c r="A1234" s="2" t="s">
        <v>230</v>
      </c>
      <c r="B1234" s="3">
        <v>700.0</v>
      </c>
    </row>
    <row r="1235" ht="15.75" customHeight="1">
      <c r="A1235" s="2" t="s">
        <v>1</v>
      </c>
      <c r="B1235" s="2">
        <f>SUM(B1225:DH1234)</f>
        <v>16928.43</v>
      </c>
    </row>
    <row r="1236" ht="15.75" customHeight="1"/>
    <row r="1237" ht="15.75" customHeight="1">
      <c r="A1237" s="1">
        <v>45170.0</v>
      </c>
    </row>
    <row r="1238" ht="15.75" customHeight="1">
      <c r="A1238" s="2" t="s">
        <v>249</v>
      </c>
      <c r="B1238" s="3">
        <v>61.47</v>
      </c>
      <c r="C1238" s="3">
        <v>18.56</v>
      </c>
      <c r="D1238" s="3">
        <v>317.02</v>
      </c>
      <c r="E1238" s="3">
        <v>77.04</v>
      </c>
      <c r="F1238" s="3">
        <v>347.76</v>
      </c>
      <c r="G1238" s="3">
        <v>4.5</v>
      </c>
      <c r="H1238" s="3">
        <v>420.0</v>
      </c>
      <c r="I1238" s="3">
        <v>235.04</v>
      </c>
      <c r="J1238" s="3">
        <v>685.0</v>
      </c>
      <c r="K1238" s="3">
        <v>146.0</v>
      </c>
      <c r="L1238" s="3">
        <v>47.0</v>
      </c>
      <c r="M1238" s="3">
        <v>89.85</v>
      </c>
      <c r="N1238" s="3">
        <v>36.96</v>
      </c>
      <c r="O1238" s="3">
        <v>154.22</v>
      </c>
      <c r="P1238" s="3">
        <v>178.09</v>
      </c>
      <c r="Q1238" s="3">
        <v>131.42</v>
      </c>
      <c r="R1238" s="3">
        <v>149.0</v>
      </c>
      <c r="S1238" s="3">
        <v>100.0</v>
      </c>
      <c r="T1238" s="3">
        <v>39.75</v>
      </c>
      <c r="U1238" s="3">
        <v>16.99</v>
      </c>
      <c r="V1238" s="3">
        <v>208.25</v>
      </c>
      <c r="W1238" s="3">
        <v>182.86</v>
      </c>
      <c r="X1238" s="3">
        <v>12.0</v>
      </c>
      <c r="Y1238" s="3">
        <v>8.0</v>
      </c>
      <c r="Z1238" s="3">
        <v>28.0</v>
      </c>
      <c r="AA1238" s="3">
        <v>28.0</v>
      </c>
      <c r="AB1238" s="3">
        <v>115.85</v>
      </c>
      <c r="AC1238" s="3">
        <v>62.7</v>
      </c>
      <c r="AD1238" s="3">
        <v>24.0</v>
      </c>
      <c r="AE1238" s="3">
        <v>215.98</v>
      </c>
      <c r="AF1238" s="3">
        <v>58.0</v>
      </c>
      <c r="AG1238" s="3">
        <v>252.0</v>
      </c>
      <c r="AH1238" s="3">
        <v>50.0</v>
      </c>
      <c r="AI1238" s="3">
        <v>63.96</v>
      </c>
      <c r="AJ1238" s="3">
        <v>21.0</v>
      </c>
      <c r="AK1238" s="3">
        <v>16.97</v>
      </c>
      <c r="AL1238" s="3">
        <v>180.0</v>
      </c>
      <c r="AM1238" s="3">
        <v>72.0</v>
      </c>
      <c r="AN1238" s="3">
        <v>17.75</v>
      </c>
      <c r="AO1238" s="3">
        <v>98.47</v>
      </c>
      <c r="AP1238" s="3">
        <v>32.0</v>
      </c>
      <c r="AQ1238" s="3">
        <v>56.34</v>
      </c>
      <c r="AR1238" s="3">
        <v>72.0</v>
      </c>
      <c r="AS1238" s="3">
        <v>30.0</v>
      </c>
      <c r="AT1238" s="3">
        <v>65.0</v>
      </c>
      <c r="AU1238" s="3">
        <v>60.0</v>
      </c>
      <c r="AV1238" s="3">
        <v>65.0</v>
      </c>
      <c r="AW1238" s="3">
        <v>8.0</v>
      </c>
      <c r="AX1238" s="3">
        <v>21.0</v>
      </c>
    </row>
    <row r="1239" ht="15.75" customHeight="1">
      <c r="A1239" s="2" t="s">
        <v>237</v>
      </c>
      <c r="B1239" s="3">
        <v>126.34</v>
      </c>
      <c r="C1239" s="3">
        <v>256.3</v>
      </c>
      <c r="D1239" s="3">
        <v>68.82</v>
      </c>
      <c r="E1239" s="3">
        <v>194.68</v>
      </c>
      <c r="F1239" s="3">
        <v>206.84</v>
      </c>
    </row>
    <row r="1240" ht="15.75" customHeight="1">
      <c r="A1240" s="2" t="s">
        <v>246</v>
      </c>
      <c r="B1240" s="3">
        <v>61.25</v>
      </c>
      <c r="C1240" s="3">
        <v>59.88</v>
      </c>
      <c r="E1240" s="3">
        <v>228.0</v>
      </c>
      <c r="F1240" s="3">
        <v>411.9</v>
      </c>
      <c r="G1240" s="3">
        <v>112.35</v>
      </c>
      <c r="H1240" s="3">
        <v>56.66</v>
      </c>
      <c r="I1240" s="3">
        <v>98.09</v>
      </c>
      <c r="J1240" s="3">
        <v>24.8</v>
      </c>
      <c r="K1240" s="3">
        <v>43.76</v>
      </c>
      <c r="L1240" s="3">
        <v>84.96</v>
      </c>
      <c r="M1240" s="3">
        <v>167.92</v>
      </c>
      <c r="N1240" s="3">
        <v>91.8</v>
      </c>
      <c r="O1240" s="3">
        <v>53.6</v>
      </c>
      <c r="P1240" s="3">
        <v>206.08</v>
      </c>
      <c r="Q1240" s="3">
        <v>18.5</v>
      </c>
      <c r="R1240" s="3">
        <v>47.25</v>
      </c>
      <c r="S1240" s="3">
        <v>86.45</v>
      </c>
      <c r="T1240" s="3">
        <v>114.11</v>
      </c>
      <c r="U1240" s="3">
        <v>52.0</v>
      </c>
      <c r="V1240" s="3">
        <v>91.0</v>
      </c>
      <c r="W1240" s="3">
        <v>25.0</v>
      </c>
      <c r="X1240" s="3">
        <v>36.0</v>
      </c>
      <c r="Y1240" s="3">
        <v>59.94</v>
      </c>
      <c r="Z1240" s="3">
        <v>28.21</v>
      </c>
      <c r="AA1240" s="3">
        <v>80.5</v>
      </c>
    </row>
    <row r="1241" ht="15.75" customHeight="1">
      <c r="A1241" s="2" t="s">
        <v>212</v>
      </c>
      <c r="B1241" s="15">
        <v>53.0</v>
      </c>
    </row>
    <row r="1242" ht="15.75" customHeight="1">
      <c r="A1242" s="2" t="s">
        <v>108</v>
      </c>
      <c r="B1242" s="15">
        <v>1922.87</v>
      </c>
    </row>
    <row r="1243" ht="15.75" customHeight="1">
      <c r="A1243" s="2" t="s">
        <v>88</v>
      </c>
      <c r="B1243" s="15">
        <v>326.22</v>
      </c>
    </row>
    <row r="1244" ht="15.75" customHeight="1">
      <c r="A1244" s="2" t="s">
        <v>109</v>
      </c>
      <c r="B1244" s="15">
        <v>74.24</v>
      </c>
    </row>
    <row r="1245" ht="15.75" customHeight="1">
      <c r="A1245" s="2" t="s">
        <v>83</v>
      </c>
      <c r="B1245" s="16">
        <v>44.09</v>
      </c>
    </row>
    <row r="1246" ht="15.75" customHeight="1"/>
    <row r="1247" ht="15.75" customHeight="1">
      <c r="A1247" s="2" t="s">
        <v>1</v>
      </c>
    </row>
    <row r="1248" ht="15.75" customHeight="1"/>
    <row r="1249" ht="15.75" customHeight="1">
      <c r="A1249" s="1">
        <v>45200.0</v>
      </c>
    </row>
    <row r="1250" ht="15.75" customHeight="1">
      <c r="A1250" s="2" t="s">
        <v>249</v>
      </c>
      <c r="B1250" s="16">
        <v>77.04</v>
      </c>
      <c r="C1250" s="16">
        <v>89.95</v>
      </c>
      <c r="D1250" s="16">
        <v>154.22</v>
      </c>
      <c r="E1250" s="16">
        <v>115.85</v>
      </c>
      <c r="F1250" s="16">
        <v>1900.0</v>
      </c>
      <c r="G1250" s="16">
        <v>89.9</v>
      </c>
      <c r="H1250" s="16">
        <v>173.96</v>
      </c>
      <c r="I1250" s="15">
        <v>56.33</v>
      </c>
      <c r="J1250" s="15">
        <v>35.0</v>
      </c>
      <c r="K1250" s="15">
        <v>58.9</v>
      </c>
      <c r="L1250" s="15">
        <v>197.11</v>
      </c>
      <c r="M1250" s="15">
        <v>87.0</v>
      </c>
      <c r="N1250" s="15">
        <v>45.0</v>
      </c>
      <c r="O1250" s="15">
        <v>47.0</v>
      </c>
      <c r="P1250" s="15">
        <v>35.88</v>
      </c>
      <c r="Q1250" s="15">
        <v>255.98</v>
      </c>
      <c r="R1250" s="15">
        <v>8.5</v>
      </c>
      <c r="S1250" s="15">
        <v>20.0</v>
      </c>
      <c r="T1250" s="15">
        <v>199.78</v>
      </c>
      <c r="U1250" s="15">
        <v>285.99</v>
      </c>
      <c r="V1250" s="15">
        <v>62.5</v>
      </c>
      <c r="W1250" s="15">
        <v>163.1</v>
      </c>
      <c r="X1250" s="15">
        <v>60.27</v>
      </c>
      <c r="Y1250" s="15">
        <v>166.61</v>
      </c>
      <c r="Z1250" s="15">
        <v>595.0</v>
      </c>
      <c r="AA1250" s="15">
        <v>48.92</v>
      </c>
      <c r="AB1250" s="15">
        <v>80.25</v>
      </c>
      <c r="AC1250" s="15">
        <v>75.0</v>
      </c>
      <c r="AD1250" s="15">
        <v>12.0</v>
      </c>
      <c r="AE1250" s="15">
        <v>57.89</v>
      </c>
      <c r="AF1250" s="15">
        <v>511.96</v>
      </c>
      <c r="AG1250" s="15">
        <v>190.81</v>
      </c>
      <c r="AH1250" s="15">
        <v>20.5</v>
      </c>
      <c r="AI1250" s="15">
        <v>140.0</v>
      </c>
      <c r="AJ1250" s="15">
        <v>199.0</v>
      </c>
      <c r="AK1250" s="15">
        <v>663.06</v>
      </c>
      <c r="AL1250" s="15">
        <v>20.0</v>
      </c>
      <c r="AM1250" s="15">
        <v>300.0</v>
      </c>
      <c r="AN1250" s="15">
        <v>19.83</v>
      </c>
      <c r="AO1250" s="15">
        <v>4.0</v>
      </c>
      <c r="AP1250" s="15">
        <v>350.0</v>
      </c>
      <c r="AQ1250" s="15">
        <v>67.44</v>
      </c>
      <c r="AR1250" s="15">
        <v>81.54</v>
      </c>
      <c r="AS1250" s="15">
        <v>10.0</v>
      </c>
      <c r="AT1250" s="15">
        <v>50.0</v>
      </c>
      <c r="AU1250" s="15">
        <v>80.0</v>
      </c>
      <c r="AV1250" s="15">
        <v>14.9</v>
      </c>
      <c r="AW1250" s="15">
        <v>49.16</v>
      </c>
      <c r="AX1250" s="15">
        <v>65.5</v>
      </c>
      <c r="AY1250" s="15">
        <v>6.0</v>
      </c>
      <c r="AZ1250" s="15">
        <v>60.34</v>
      </c>
      <c r="BA1250" s="15">
        <v>10.0</v>
      </c>
      <c r="BB1250" s="15">
        <v>42.0</v>
      </c>
      <c r="BC1250" s="15">
        <v>42.0</v>
      </c>
      <c r="BD1250" s="15">
        <v>62.0</v>
      </c>
      <c r="BE1250" s="15">
        <v>97.97</v>
      </c>
      <c r="BF1250" s="15">
        <v>4.69</v>
      </c>
      <c r="BG1250" s="15">
        <v>238.7</v>
      </c>
      <c r="BH1250" s="15">
        <v>54.94</v>
      </c>
      <c r="BI1250" s="15">
        <v>28.59</v>
      </c>
      <c r="BJ1250" s="15">
        <v>4.89</v>
      </c>
      <c r="BK1250" s="15">
        <v>110.0</v>
      </c>
      <c r="BL1250" s="15">
        <v>90.0</v>
      </c>
      <c r="BM1250" s="15">
        <v>59.0</v>
      </c>
      <c r="BN1250" s="15">
        <v>22.0</v>
      </c>
      <c r="BO1250" s="15">
        <v>16.0</v>
      </c>
      <c r="BP1250" s="15">
        <v>38.5</v>
      </c>
      <c r="BQ1250" s="15">
        <v>29.95</v>
      </c>
      <c r="BR1250" s="15">
        <v>84.42</v>
      </c>
      <c r="BS1250" s="15">
        <v>16.8</v>
      </c>
      <c r="BT1250" s="15">
        <v>76.0</v>
      </c>
      <c r="BU1250" s="15">
        <v>222.72</v>
      </c>
      <c r="BV1250" s="15">
        <v>21.47</v>
      </c>
      <c r="BW1250" s="15">
        <v>367.9</v>
      </c>
      <c r="BX1250" s="15">
        <v>55.0</v>
      </c>
      <c r="BY1250" s="15">
        <v>48.0</v>
      </c>
      <c r="BZ1250" s="15">
        <v>10.0</v>
      </c>
      <c r="CA1250" s="15">
        <v>49.0</v>
      </c>
      <c r="CB1250" s="15">
        <v>27.9</v>
      </c>
      <c r="CC1250" s="15">
        <v>70.0</v>
      </c>
      <c r="CD1250" s="15">
        <v>165.0</v>
      </c>
      <c r="CE1250" s="15">
        <v>140.51</v>
      </c>
      <c r="CF1250" s="15">
        <v>31.0</v>
      </c>
      <c r="CG1250" s="15">
        <v>150.0</v>
      </c>
      <c r="CH1250" s="15">
        <v>10.0</v>
      </c>
      <c r="CI1250" s="15">
        <v>269.96</v>
      </c>
      <c r="CJ1250" s="15">
        <v>65.0</v>
      </c>
      <c r="CK1250" s="15">
        <v>85.9</v>
      </c>
    </row>
    <row r="1251" ht="15.75" customHeight="1">
      <c r="A1251" s="2" t="s">
        <v>237</v>
      </c>
      <c r="B1251" s="15">
        <v>108.87</v>
      </c>
      <c r="C1251" s="16">
        <v>256.3</v>
      </c>
      <c r="D1251" s="16">
        <v>194.68</v>
      </c>
      <c r="E1251" s="15">
        <v>39.7</v>
      </c>
      <c r="F1251" s="15">
        <v>4.19</v>
      </c>
      <c r="G1251" s="15">
        <v>146.0</v>
      </c>
      <c r="H1251" s="15">
        <v>4.5</v>
      </c>
      <c r="I1251" s="15">
        <v>58.0</v>
      </c>
      <c r="J1251" s="15">
        <v>8.99</v>
      </c>
    </row>
    <row r="1252" ht="15.75" customHeight="1">
      <c r="A1252" s="50" t="s">
        <v>246</v>
      </c>
      <c r="C1252" s="3">
        <v>228.0</v>
      </c>
      <c r="D1252" s="3">
        <v>411.9</v>
      </c>
      <c r="E1252" s="16">
        <v>112.35</v>
      </c>
      <c r="F1252" s="16">
        <v>98.09</v>
      </c>
      <c r="G1252" s="3">
        <v>24.8</v>
      </c>
      <c r="H1252" s="3">
        <v>43.76</v>
      </c>
      <c r="I1252" s="3">
        <v>84.96</v>
      </c>
      <c r="J1252" s="3">
        <v>167.92</v>
      </c>
    </row>
    <row r="1253" ht="15.75" customHeight="1">
      <c r="A1253" s="2" t="s">
        <v>212</v>
      </c>
      <c r="B1253" s="15">
        <v>53.0</v>
      </c>
    </row>
    <row r="1254" ht="15.75" customHeight="1">
      <c r="A1254" s="2" t="s">
        <v>108</v>
      </c>
      <c r="B1254" s="15">
        <v>3289.52</v>
      </c>
    </row>
    <row r="1255" ht="15.75" customHeight="1">
      <c r="A1255" s="2" t="s">
        <v>88</v>
      </c>
      <c r="B1255" s="15">
        <v>369.55</v>
      </c>
    </row>
    <row r="1256" ht="15.75" customHeight="1">
      <c r="A1256" s="2" t="s">
        <v>109</v>
      </c>
      <c r="B1256" s="15">
        <v>67.05</v>
      </c>
    </row>
    <row r="1257" ht="15.75" customHeight="1">
      <c r="A1257" s="2" t="s">
        <v>83</v>
      </c>
      <c r="B1257" s="16">
        <v>44.09</v>
      </c>
    </row>
    <row r="1258" ht="15.75" customHeight="1">
      <c r="A1258" s="19" t="s">
        <v>208</v>
      </c>
      <c r="B1258" s="15">
        <v>290.0</v>
      </c>
    </row>
    <row r="1259" ht="15.75" customHeight="1">
      <c r="A1259" s="2" t="s">
        <v>1</v>
      </c>
      <c r="B1259" s="2">
        <f>SUM(B1250:CM1258)</f>
        <v>17183</v>
      </c>
    </row>
    <row r="1260" ht="15.75" customHeight="1"/>
    <row r="1261" ht="15.75" customHeight="1">
      <c r="A1261" s="1">
        <v>45231.0</v>
      </c>
    </row>
    <row r="1262" ht="15.75" customHeight="1">
      <c r="A1262" s="2" t="s">
        <v>249</v>
      </c>
      <c r="B1262" s="16">
        <v>77.04</v>
      </c>
      <c r="C1262" s="16">
        <v>154.22</v>
      </c>
      <c r="D1262" s="16">
        <v>1900.0</v>
      </c>
      <c r="E1262" s="16">
        <v>173.96</v>
      </c>
      <c r="F1262" s="15">
        <v>56.33</v>
      </c>
      <c r="G1262" s="15">
        <v>80.25</v>
      </c>
      <c r="H1262" s="15">
        <v>75.0</v>
      </c>
      <c r="I1262" s="15">
        <v>67.44</v>
      </c>
      <c r="J1262" s="15">
        <v>219.78</v>
      </c>
      <c r="K1262" s="15">
        <v>56.64</v>
      </c>
      <c r="L1262" s="15">
        <v>226.92</v>
      </c>
      <c r="M1262" s="15">
        <v>130.0</v>
      </c>
      <c r="N1262" s="15">
        <v>41.86</v>
      </c>
      <c r="O1262" s="15">
        <v>150.0</v>
      </c>
      <c r="P1262" s="15">
        <v>30.3</v>
      </c>
      <c r="Q1262" s="15">
        <v>32.69</v>
      </c>
      <c r="R1262" s="15">
        <v>381.23</v>
      </c>
      <c r="S1262" s="15">
        <v>215.49</v>
      </c>
      <c r="T1262" s="15">
        <v>18.38</v>
      </c>
      <c r="U1262" s="15">
        <v>75.0</v>
      </c>
      <c r="V1262" s="15">
        <v>665.0</v>
      </c>
      <c r="W1262" s="15">
        <v>100.0</v>
      </c>
      <c r="X1262" s="15">
        <v>132.56</v>
      </c>
      <c r="Y1262" s="15">
        <v>280.0</v>
      </c>
      <c r="Z1262" s="15">
        <v>324.49</v>
      </c>
      <c r="AA1262" s="15">
        <v>98.0</v>
      </c>
      <c r="AB1262" s="15">
        <v>25.0</v>
      </c>
      <c r="AC1262" s="15">
        <v>67.99</v>
      </c>
      <c r="AD1262" s="15">
        <v>310.0</v>
      </c>
      <c r="AE1262" s="15">
        <v>58.0</v>
      </c>
      <c r="AF1262" s="15">
        <v>6.0</v>
      </c>
      <c r="AG1262" s="15">
        <v>67.0</v>
      </c>
      <c r="AH1262" s="15">
        <v>30.78</v>
      </c>
      <c r="AI1262" s="15">
        <v>242.0</v>
      </c>
      <c r="AJ1262" s="15">
        <v>14.9</v>
      </c>
      <c r="AK1262" s="15">
        <v>8.5</v>
      </c>
      <c r="AL1262" s="15">
        <v>29.06</v>
      </c>
      <c r="AM1262" s="15">
        <v>209.45</v>
      </c>
      <c r="AN1262" s="15">
        <v>100.0</v>
      </c>
      <c r="AO1262" s="15">
        <v>49.16</v>
      </c>
      <c r="AP1262" s="15">
        <v>97.95</v>
      </c>
      <c r="AQ1262" s="15">
        <v>76.0</v>
      </c>
      <c r="AR1262" s="15">
        <v>23.8</v>
      </c>
      <c r="AS1262" s="15">
        <v>40.33</v>
      </c>
      <c r="AT1262" s="15">
        <v>35.03</v>
      </c>
      <c r="AU1262" s="15">
        <v>63.94</v>
      </c>
      <c r="AV1262" s="15">
        <v>54.0</v>
      </c>
      <c r="AW1262" s="15">
        <v>75.0</v>
      </c>
      <c r="AX1262" s="15">
        <v>129.4</v>
      </c>
      <c r="AY1262" s="15">
        <v>113.0</v>
      </c>
      <c r="AZ1262" s="15">
        <v>40.92</v>
      </c>
      <c r="BA1262" s="15">
        <v>35.05</v>
      </c>
      <c r="BB1262" s="15">
        <v>30.0</v>
      </c>
      <c r="BC1262" s="15">
        <v>24.0</v>
      </c>
      <c r="BD1262" s="15">
        <v>24.92</v>
      </c>
      <c r="BE1262" s="15">
        <v>75.98</v>
      </c>
      <c r="BF1262" s="15">
        <v>86.22</v>
      </c>
      <c r="BG1262" s="15">
        <v>18.8</v>
      </c>
      <c r="BH1262" s="15">
        <v>131.58</v>
      </c>
      <c r="BI1262" s="15">
        <v>48.89</v>
      </c>
      <c r="BJ1262" s="15">
        <v>50.0</v>
      </c>
      <c r="BK1262" s="15">
        <v>113.0</v>
      </c>
      <c r="BL1262" s="15">
        <v>10.55</v>
      </c>
      <c r="BM1262" s="15">
        <v>10.16</v>
      </c>
      <c r="BN1262" s="15">
        <v>67.9</v>
      </c>
      <c r="BO1262" s="15">
        <v>27.9</v>
      </c>
      <c r="BP1262" s="15">
        <v>95.91</v>
      </c>
      <c r="BQ1262" s="15">
        <v>59.5</v>
      </c>
      <c r="BR1262" s="15">
        <v>32.3</v>
      </c>
      <c r="BS1262" s="15">
        <v>19.99</v>
      </c>
      <c r="BT1262" s="15">
        <v>26.18</v>
      </c>
      <c r="BU1262" s="15">
        <v>87.0</v>
      </c>
      <c r="BV1262" s="15">
        <v>231.0</v>
      </c>
      <c r="BW1262" s="15">
        <v>107.35</v>
      </c>
      <c r="BX1262" s="15">
        <v>30.37</v>
      </c>
      <c r="BY1262" s="15">
        <v>23.98</v>
      </c>
      <c r="BZ1262" s="15">
        <v>77.96</v>
      </c>
      <c r="CA1262" s="15">
        <v>27.9</v>
      </c>
    </row>
    <row r="1263" ht="15.75" customHeight="1">
      <c r="A1263" s="2" t="s">
        <v>237</v>
      </c>
      <c r="B1263" s="15">
        <v>108.87</v>
      </c>
      <c r="C1263" s="16">
        <v>256.3</v>
      </c>
      <c r="D1263" s="15">
        <v>2.62</v>
      </c>
      <c r="E1263" s="15">
        <v>302.5</v>
      </c>
      <c r="F1263" s="15">
        <v>188.58</v>
      </c>
      <c r="G1263" s="15">
        <v>56.27</v>
      </c>
      <c r="H1263" s="15">
        <v>64.0</v>
      </c>
      <c r="I1263" s="15">
        <v>338.31</v>
      </c>
      <c r="J1263" s="15">
        <v>165.0</v>
      </c>
      <c r="K1263" s="15">
        <v>78.3</v>
      </c>
      <c r="L1263" s="15">
        <v>29.5</v>
      </c>
      <c r="M1263" s="15">
        <v>57.42</v>
      </c>
      <c r="N1263" s="15">
        <v>14.0</v>
      </c>
      <c r="O1263" s="15">
        <v>52.0</v>
      </c>
      <c r="P1263" s="15">
        <v>52.0</v>
      </c>
      <c r="Q1263" s="15">
        <v>59.96</v>
      </c>
      <c r="R1263" s="15">
        <v>50.0</v>
      </c>
      <c r="S1263" s="15">
        <v>89.39</v>
      </c>
      <c r="T1263" s="15">
        <v>70.0</v>
      </c>
      <c r="U1263" s="15">
        <v>50.0</v>
      </c>
      <c r="V1263" s="15">
        <v>10.0</v>
      </c>
    </row>
    <row r="1264" ht="15.75" customHeight="1">
      <c r="A1264" s="2" t="s">
        <v>246</v>
      </c>
      <c r="B1264" s="3">
        <v>84.96</v>
      </c>
      <c r="C1264" s="3">
        <v>228.0</v>
      </c>
      <c r="D1264" s="3">
        <v>411.9</v>
      </c>
      <c r="E1264" s="16">
        <v>112.35</v>
      </c>
      <c r="F1264" s="16">
        <v>98.09</v>
      </c>
      <c r="G1264" s="3">
        <v>24.8</v>
      </c>
      <c r="H1264" s="3">
        <v>43.76</v>
      </c>
    </row>
    <row r="1265" ht="15.75" customHeight="1">
      <c r="A1265" s="2" t="s">
        <v>212</v>
      </c>
      <c r="B1265" s="15">
        <v>53.0</v>
      </c>
    </row>
    <row r="1266" ht="15.75" customHeight="1">
      <c r="A1266" s="2" t="s">
        <v>108</v>
      </c>
      <c r="B1266" s="15">
        <v>250.0</v>
      </c>
    </row>
    <row r="1267" ht="15.75" customHeight="1">
      <c r="A1267" s="2" t="s">
        <v>88</v>
      </c>
      <c r="B1267" s="15">
        <v>363.58</v>
      </c>
    </row>
    <row r="1268" ht="15.75" customHeight="1">
      <c r="A1268" s="2" t="s">
        <v>109</v>
      </c>
      <c r="B1268" s="15">
        <v>67.05</v>
      </c>
    </row>
    <row r="1269" ht="15.75" customHeight="1">
      <c r="A1269" s="2" t="s">
        <v>83</v>
      </c>
      <c r="B1269" s="16">
        <v>44.09</v>
      </c>
    </row>
    <row r="1270" ht="15.75" customHeight="1"/>
    <row r="1271" ht="15.75" customHeight="1">
      <c r="A1271" s="2" t="s">
        <v>1</v>
      </c>
    </row>
    <row r="1272" ht="15.75" customHeight="1"/>
    <row r="1273" ht="15.75" customHeight="1">
      <c r="A1273" s="1">
        <v>45261.0</v>
      </c>
    </row>
    <row r="1274" ht="15.75" customHeight="1">
      <c r="A1274" s="2" t="s">
        <v>249</v>
      </c>
      <c r="B1274" s="16">
        <v>154.22</v>
      </c>
      <c r="C1274" s="16">
        <v>1900.0</v>
      </c>
      <c r="D1274" s="16">
        <v>173.96</v>
      </c>
      <c r="E1274" s="15">
        <v>75.0</v>
      </c>
      <c r="F1274" s="15">
        <v>67.44</v>
      </c>
      <c r="G1274" s="15">
        <v>75.0</v>
      </c>
      <c r="H1274" s="15">
        <v>49.16</v>
      </c>
      <c r="I1274" s="15">
        <v>97.95</v>
      </c>
      <c r="J1274" s="15">
        <v>10.55</v>
      </c>
      <c r="K1274" s="15">
        <v>10.16</v>
      </c>
      <c r="L1274" s="15">
        <v>134.4</v>
      </c>
      <c r="M1274" s="15">
        <v>4.5</v>
      </c>
      <c r="N1274" s="15">
        <v>29.4</v>
      </c>
      <c r="O1274" s="15">
        <v>166.0</v>
      </c>
      <c r="P1274" s="15">
        <v>35.5</v>
      </c>
      <c r="Q1274" s="15">
        <v>161.85</v>
      </c>
      <c r="R1274" s="15">
        <v>17.98</v>
      </c>
      <c r="S1274" s="15">
        <v>83.68</v>
      </c>
      <c r="T1274" s="15">
        <v>126.75</v>
      </c>
      <c r="U1274" s="15">
        <v>388.17</v>
      </c>
      <c r="V1274" s="15">
        <v>81.0</v>
      </c>
      <c r="W1274" s="15">
        <v>59.0</v>
      </c>
      <c r="X1274" s="15">
        <v>44.9</v>
      </c>
      <c r="Y1274" s="15">
        <v>74.02</v>
      </c>
      <c r="Z1274" s="15">
        <v>600.0</v>
      </c>
      <c r="AA1274" s="15">
        <v>147.0</v>
      </c>
      <c r="AB1274" s="15">
        <v>175.43</v>
      </c>
      <c r="AC1274" s="15">
        <v>22.5</v>
      </c>
      <c r="AD1274" s="15">
        <v>216.0</v>
      </c>
      <c r="AE1274" s="15">
        <v>339.0</v>
      </c>
      <c r="AF1274" s="15">
        <v>30.0</v>
      </c>
      <c r="AG1274" s="15">
        <v>53.0</v>
      </c>
      <c r="AH1274" s="15">
        <v>186.0</v>
      </c>
      <c r="AI1274" s="15">
        <v>18.0</v>
      </c>
      <c r="AJ1274" s="15">
        <v>18.0</v>
      </c>
      <c r="AK1274" s="15">
        <v>18.0</v>
      </c>
      <c r="AL1274" s="15">
        <v>33.0</v>
      </c>
      <c r="AM1274" s="15">
        <v>51.04</v>
      </c>
      <c r="AN1274" s="15">
        <v>141.03</v>
      </c>
      <c r="AO1274" s="15">
        <v>25.0</v>
      </c>
      <c r="AP1274" s="15">
        <v>217.8</v>
      </c>
      <c r="AQ1274" s="15">
        <v>560.0</v>
      </c>
      <c r="AR1274" s="15">
        <v>202.29</v>
      </c>
      <c r="AS1274" s="15">
        <v>4.5</v>
      </c>
      <c r="AT1274" s="15">
        <v>218.0</v>
      </c>
      <c r="AU1274" s="15">
        <v>775.0</v>
      </c>
      <c r="AV1274" s="15">
        <v>135.0</v>
      </c>
      <c r="AW1274" s="15">
        <v>38.4</v>
      </c>
      <c r="AX1274" s="15">
        <v>74.0</v>
      </c>
      <c r="AY1274" s="15">
        <v>81.5</v>
      </c>
      <c r="AZ1274" s="15">
        <v>84.64</v>
      </c>
      <c r="BA1274" s="15">
        <v>54.99</v>
      </c>
      <c r="BB1274" s="15">
        <v>94.9</v>
      </c>
      <c r="BC1274" s="15">
        <v>164.0</v>
      </c>
      <c r="BD1274" s="15">
        <v>208.46</v>
      </c>
      <c r="BE1274" s="15">
        <v>130.0</v>
      </c>
      <c r="BF1274" s="15">
        <v>73.26</v>
      </c>
      <c r="BG1274" s="15">
        <v>60.36</v>
      </c>
      <c r="BH1274" s="15">
        <v>36.34</v>
      </c>
      <c r="BI1274" s="15">
        <v>234.27</v>
      </c>
      <c r="BJ1274" s="15">
        <v>150.0</v>
      </c>
      <c r="BK1274" s="15">
        <v>132.0</v>
      </c>
      <c r="BL1274" s="15">
        <v>82.5</v>
      </c>
      <c r="BM1274" s="15">
        <v>251.9</v>
      </c>
      <c r="BN1274" s="15">
        <v>44.0</v>
      </c>
      <c r="BO1274" s="15">
        <v>163.68</v>
      </c>
      <c r="BP1274" s="15">
        <v>14.9</v>
      </c>
      <c r="BQ1274" s="15">
        <v>90.0</v>
      </c>
    </row>
    <row r="1275" ht="15.75" customHeight="1">
      <c r="A1275" s="2" t="s">
        <v>237</v>
      </c>
      <c r="B1275" s="15">
        <v>108.87</v>
      </c>
      <c r="C1275" s="16">
        <v>256.3</v>
      </c>
      <c r="D1275" s="15">
        <v>338.31</v>
      </c>
      <c r="E1275" s="15">
        <v>165.0</v>
      </c>
      <c r="F1275" s="15">
        <v>90.47</v>
      </c>
      <c r="G1275" s="15">
        <v>91.0</v>
      </c>
      <c r="H1275" s="15">
        <v>75.93</v>
      </c>
      <c r="I1275" s="15">
        <v>10.0</v>
      </c>
      <c r="J1275" s="15">
        <v>82.0</v>
      </c>
      <c r="K1275" s="15">
        <v>19.5</v>
      </c>
      <c r="L1275" s="15">
        <v>166.54</v>
      </c>
      <c r="M1275" s="15">
        <v>14.0</v>
      </c>
      <c r="N1275" s="15">
        <v>61.0</v>
      </c>
      <c r="O1275" s="15">
        <v>47.0</v>
      </c>
      <c r="P1275" s="15">
        <v>28.0</v>
      </c>
      <c r="Q1275" s="15">
        <v>10.0</v>
      </c>
      <c r="R1275" s="15">
        <v>119.94</v>
      </c>
      <c r="S1275" s="15">
        <v>83.58</v>
      </c>
      <c r="T1275" s="15">
        <v>94.5</v>
      </c>
      <c r="U1275" s="15">
        <v>28.0</v>
      </c>
      <c r="V1275" s="15">
        <v>39.9</v>
      </c>
      <c r="W1275" s="15">
        <v>22.0</v>
      </c>
      <c r="X1275" s="15">
        <v>10.0</v>
      </c>
      <c r="Y1275" s="15">
        <v>70.0</v>
      </c>
      <c r="Z1275" s="15">
        <v>10.0</v>
      </c>
      <c r="AA1275" s="15">
        <v>10.0</v>
      </c>
      <c r="AB1275" s="15">
        <v>53.56</v>
      </c>
      <c r="AC1275" s="15">
        <v>57.25</v>
      </c>
      <c r="AD1275" s="15">
        <v>81.69</v>
      </c>
    </row>
    <row r="1276" ht="15.75" customHeight="1">
      <c r="A1276" s="2" t="s">
        <v>246</v>
      </c>
      <c r="B1276" s="15">
        <v>84.96</v>
      </c>
      <c r="C1276" s="3">
        <v>228.0</v>
      </c>
      <c r="D1276" s="3">
        <v>411.9</v>
      </c>
      <c r="E1276" s="16">
        <v>98.09</v>
      </c>
      <c r="F1276" s="3">
        <v>24.8</v>
      </c>
      <c r="G1276" s="3">
        <v>43.76</v>
      </c>
      <c r="H1276" s="3"/>
    </row>
    <row r="1277" ht="15.75" customHeight="1">
      <c r="A1277" s="2" t="s">
        <v>212</v>
      </c>
      <c r="B1277" s="15">
        <v>53.0</v>
      </c>
    </row>
    <row r="1278" ht="15.75" customHeight="1">
      <c r="A1278" s="2" t="s">
        <v>108</v>
      </c>
      <c r="B1278" s="15">
        <v>100.0</v>
      </c>
      <c r="D1278" s="19" t="s">
        <v>239</v>
      </c>
      <c r="E1278" s="51">
        <v>3600.0</v>
      </c>
    </row>
    <row r="1279" ht="15.75" customHeight="1">
      <c r="A1279" s="2" t="s">
        <v>88</v>
      </c>
      <c r="B1279" s="15">
        <v>365.72</v>
      </c>
    </row>
    <row r="1280" ht="15.75" customHeight="1">
      <c r="A1280" s="2" t="s">
        <v>109</v>
      </c>
      <c r="B1280" s="15">
        <v>67.05</v>
      </c>
    </row>
    <row r="1281" ht="15.75" customHeight="1">
      <c r="A1281" s="2" t="s">
        <v>83</v>
      </c>
      <c r="B1281" s="16">
        <v>44.09</v>
      </c>
    </row>
    <row r="1282" ht="15.75" customHeight="1">
      <c r="A1282" s="19" t="s">
        <v>250</v>
      </c>
      <c r="B1282" s="15">
        <v>150.0</v>
      </c>
    </row>
    <row r="1283" ht="15.75" customHeight="1">
      <c r="A1283" s="2" t="s">
        <v>1</v>
      </c>
      <c r="B1283" s="2">
        <f>SUM(B1274:BK1282)</f>
        <v>17339.01</v>
      </c>
    </row>
    <row r="1284" ht="15.75" customHeight="1"/>
    <row r="1285" ht="15.75" customHeight="1">
      <c r="A1285" s="1">
        <v>45292.0</v>
      </c>
    </row>
    <row r="1286" ht="15.75" customHeight="1">
      <c r="B1286" s="15">
        <v>154.2</v>
      </c>
      <c r="C1286" s="16">
        <v>1900.0</v>
      </c>
      <c r="D1286" s="15">
        <v>67.42</v>
      </c>
      <c r="E1286" s="15">
        <v>49.16</v>
      </c>
      <c r="F1286" s="15">
        <v>97.95</v>
      </c>
      <c r="G1286" s="15">
        <v>10.52</v>
      </c>
      <c r="H1286" s="15">
        <v>10.16</v>
      </c>
      <c r="I1286" s="15">
        <v>44.9</v>
      </c>
      <c r="J1286" s="15">
        <v>216.0</v>
      </c>
      <c r="K1286" s="15">
        <v>560.0</v>
      </c>
      <c r="L1286" s="15">
        <v>84.64</v>
      </c>
      <c r="M1286" s="15">
        <v>94.9</v>
      </c>
      <c r="N1286" s="15">
        <v>73.26</v>
      </c>
      <c r="O1286" s="15">
        <v>163.68</v>
      </c>
      <c r="P1286" s="15">
        <v>36.93</v>
      </c>
      <c r="Q1286" s="15">
        <v>79.9</v>
      </c>
      <c r="R1286" s="15">
        <v>251.9</v>
      </c>
      <c r="S1286" s="15">
        <v>10.0</v>
      </c>
      <c r="T1286" s="15">
        <v>9.0</v>
      </c>
      <c r="U1286" s="15">
        <v>12.79</v>
      </c>
      <c r="V1286" s="15">
        <v>109.95</v>
      </c>
      <c r="W1286" s="15">
        <v>95.6</v>
      </c>
      <c r="X1286" s="15">
        <v>63.06</v>
      </c>
      <c r="Y1286" s="15">
        <v>367.5</v>
      </c>
      <c r="Z1286" s="15">
        <v>187.5</v>
      </c>
      <c r="AA1286" s="15">
        <v>24.0</v>
      </c>
      <c r="AB1286" s="15">
        <v>28.0</v>
      </c>
      <c r="AC1286" s="15">
        <v>5.0</v>
      </c>
      <c r="AD1286" s="15">
        <v>20.0</v>
      </c>
      <c r="AE1286" s="15">
        <v>5.0</v>
      </c>
      <c r="AF1286" s="15">
        <v>15.0</v>
      </c>
      <c r="AG1286" s="15">
        <v>15.0</v>
      </c>
      <c r="AH1286" s="15">
        <v>10.0</v>
      </c>
      <c r="AI1286" s="15">
        <v>15.0</v>
      </c>
      <c r="AJ1286" s="15">
        <v>55.0</v>
      </c>
      <c r="AK1286" s="15">
        <v>43.0</v>
      </c>
      <c r="AL1286" s="15">
        <v>8.5</v>
      </c>
      <c r="AM1286" s="15">
        <v>31.0</v>
      </c>
      <c r="AN1286" s="15">
        <v>46.18</v>
      </c>
      <c r="AO1286" s="15">
        <v>106.27</v>
      </c>
      <c r="AP1286" s="15">
        <v>64.0</v>
      </c>
      <c r="AQ1286" s="15">
        <v>47.0</v>
      </c>
      <c r="AR1286" s="15">
        <v>27.0</v>
      </c>
      <c r="AS1286" s="15">
        <v>46.0</v>
      </c>
      <c r="AT1286" s="15">
        <v>11.0</v>
      </c>
      <c r="AU1286" s="15">
        <v>4.0</v>
      </c>
      <c r="AV1286" s="15">
        <v>12.5</v>
      </c>
      <c r="AW1286" s="15">
        <v>26.29</v>
      </c>
      <c r="AX1286" s="15">
        <v>10.5</v>
      </c>
      <c r="AY1286" s="15">
        <v>17.5</v>
      </c>
      <c r="AZ1286" s="15">
        <v>20.59</v>
      </c>
      <c r="BA1286" s="15">
        <v>18.66</v>
      </c>
      <c r="BB1286" s="15">
        <v>18.82</v>
      </c>
      <c r="BC1286" s="15">
        <v>157.0</v>
      </c>
      <c r="BD1286" s="15">
        <v>14.9</v>
      </c>
      <c r="BE1286" s="15">
        <v>34.03</v>
      </c>
      <c r="BF1286" s="15">
        <v>11.51</v>
      </c>
      <c r="BG1286" s="15">
        <v>41.5</v>
      </c>
      <c r="BH1286" s="15">
        <v>30.95</v>
      </c>
      <c r="BI1286" s="15">
        <v>133.0</v>
      </c>
      <c r="BJ1286" s="15">
        <v>35.0</v>
      </c>
      <c r="BK1286" s="15">
        <v>20.0</v>
      </c>
      <c r="BL1286" s="15">
        <v>33.0</v>
      </c>
      <c r="BM1286" s="15">
        <v>20.0</v>
      </c>
      <c r="BN1286" s="15">
        <v>20.0</v>
      </c>
      <c r="BO1286" s="15">
        <v>15.0</v>
      </c>
      <c r="BP1286" s="15">
        <v>20.0</v>
      </c>
      <c r="BQ1286" s="15">
        <v>20.0</v>
      </c>
      <c r="BR1286" s="15">
        <v>10.0</v>
      </c>
      <c r="BS1286" s="15">
        <v>79.83</v>
      </c>
      <c r="BT1286" s="15">
        <v>53.0</v>
      </c>
      <c r="BU1286" s="15">
        <v>211.86</v>
      </c>
      <c r="BV1286" s="15">
        <v>48.0</v>
      </c>
      <c r="BW1286" s="15">
        <v>34.0</v>
      </c>
      <c r="BX1286" s="15">
        <v>28.0</v>
      </c>
      <c r="BY1286" s="15">
        <v>28.0</v>
      </c>
      <c r="BZ1286" s="15">
        <v>27.9</v>
      </c>
      <c r="CA1286" s="15">
        <v>32.83</v>
      </c>
      <c r="CB1286" s="15">
        <v>90.0</v>
      </c>
    </row>
    <row r="1287" ht="15.75" customHeight="1">
      <c r="A1287" s="2" t="s">
        <v>237</v>
      </c>
      <c r="B1287" s="16">
        <v>256.3</v>
      </c>
      <c r="C1287" s="15">
        <v>163.0</v>
      </c>
      <c r="D1287" s="15">
        <v>75.93</v>
      </c>
      <c r="E1287" s="15">
        <v>119.94</v>
      </c>
      <c r="F1287" s="15">
        <v>83.56</v>
      </c>
      <c r="G1287" s="15">
        <v>94.5</v>
      </c>
      <c r="H1287" s="15">
        <v>60.6</v>
      </c>
      <c r="I1287" s="15">
        <v>37.5</v>
      </c>
      <c r="J1287" s="15">
        <v>58.0</v>
      </c>
      <c r="K1287" s="15">
        <v>68.52</v>
      </c>
      <c r="L1287" s="15">
        <v>5812.95</v>
      </c>
      <c r="M1287" s="15">
        <v>626.97</v>
      </c>
      <c r="N1287" s="15">
        <v>200.0</v>
      </c>
      <c r="O1287" s="15">
        <v>65.91</v>
      </c>
      <c r="P1287" s="15">
        <v>73.25</v>
      </c>
      <c r="Q1287" s="15">
        <v>51.0</v>
      </c>
      <c r="R1287" s="15">
        <v>89.19</v>
      </c>
      <c r="S1287" s="15">
        <v>9.0</v>
      </c>
      <c r="T1287" s="15">
        <v>115.23</v>
      </c>
      <c r="U1287" s="15">
        <v>52.72</v>
      </c>
      <c r="V1287" s="15">
        <v>50.0</v>
      </c>
      <c r="W1287" s="15">
        <v>155.08</v>
      </c>
      <c r="X1287" s="15">
        <v>670.0</v>
      </c>
      <c r="Y1287" s="15">
        <v>76.8</v>
      </c>
      <c r="Z1287" s="15">
        <v>2.27</v>
      </c>
      <c r="AA1287" s="15">
        <v>78.96</v>
      </c>
      <c r="AB1287" s="15">
        <v>111.0</v>
      </c>
      <c r="AC1287" s="15">
        <v>44.5</v>
      </c>
      <c r="AD1287" s="15">
        <v>48.5</v>
      </c>
      <c r="AE1287" s="15">
        <v>54.9</v>
      </c>
      <c r="AF1287" s="15">
        <v>19.97</v>
      </c>
      <c r="AG1287" s="15">
        <v>100.0</v>
      </c>
      <c r="AH1287" s="15">
        <v>20.0</v>
      </c>
      <c r="AI1287" s="15">
        <v>143.0</v>
      </c>
      <c r="AJ1287" s="15">
        <v>125.4</v>
      </c>
    </row>
    <row r="1288" ht="15.75" customHeight="1">
      <c r="A1288" s="2" t="s">
        <v>246</v>
      </c>
      <c r="B1288" s="3">
        <v>228.0</v>
      </c>
      <c r="C1288" s="3">
        <v>411.9</v>
      </c>
      <c r="D1288" s="3">
        <v>24.8</v>
      </c>
      <c r="E1288" s="3">
        <v>43.76</v>
      </c>
      <c r="F1288" s="3">
        <v>84.96</v>
      </c>
    </row>
    <row r="1289" ht="15.75" customHeight="1">
      <c r="A1289" s="2" t="s">
        <v>212</v>
      </c>
      <c r="B1289" s="15">
        <v>53.0</v>
      </c>
    </row>
    <row r="1290" ht="15.75" customHeight="1">
      <c r="A1290" s="2" t="s">
        <v>108</v>
      </c>
      <c r="B1290" s="15">
        <v>1200.0</v>
      </c>
    </row>
    <row r="1291" ht="15.75" customHeight="1">
      <c r="A1291" s="2" t="s">
        <v>88</v>
      </c>
      <c r="B1291" s="15">
        <v>455.62</v>
      </c>
    </row>
    <row r="1292" ht="15.75" customHeight="1">
      <c r="A1292" s="2" t="s">
        <v>109</v>
      </c>
      <c r="B1292" s="15">
        <v>70.34</v>
      </c>
    </row>
    <row r="1293" ht="15.75" customHeight="1">
      <c r="A1293" s="19" t="s">
        <v>251</v>
      </c>
      <c r="B1293" s="15">
        <v>163.53</v>
      </c>
    </row>
    <row r="1294" ht="15.75" customHeight="1">
      <c r="A1294" s="2" t="s">
        <v>1</v>
      </c>
    </row>
    <row r="1295" ht="15.75" customHeight="1"/>
    <row r="1296" ht="15.75" customHeight="1">
      <c r="A1296" s="1">
        <v>45323.0</v>
      </c>
    </row>
    <row r="1297" ht="15.75" customHeight="1">
      <c r="A1297" s="2" t="s">
        <v>249</v>
      </c>
      <c r="B1297" s="16">
        <v>154.22</v>
      </c>
      <c r="C1297" s="15">
        <v>1900.0</v>
      </c>
      <c r="D1297" s="15">
        <v>49.16</v>
      </c>
      <c r="E1297" s="15">
        <v>10.52</v>
      </c>
      <c r="F1297" s="15">
        <v>10.15</v>
      </c>
      <c r="G1297" s="15">
        <v>44.9</v>
      </c>
      <c r="H1297" s="15">
        <v>216.0</v>
      </c>
      <c r="I1297" s="15">
        <v>84.64</v>
      </c>
      <c r="J1297" s="15">
        <v>73.25</v>
      </c>
      <c r="K1297" s="15">
        <v>54.95</v>
      </c>
      <c r="L1297" s="15">
        <v>101.65</v>
      </c>
      <c r="M1297" s="15">
        <v>109.95</v>
      </c>
      <c r="N1297" s="15">
        <v>95.59</v>
      </c>
      <c r="O1297" s="15">
        <v>367.5</v>
      </c>
      <c r="P1297" s="15">
        <v>187.5</v>
      </c>
      <c r="Q1297" s="15">
        <v>39.93</v>
      </c>
      <c r="R1297" s="15">
        <v>58.84</v>
      </c>
      <c r="S1297" s="15">
        <v>382.85</v>
      </c>
      <c r="T1297" s="15">
        <v>75.97</v>
      </c>
      <c r="U1297" s="15">
        <v>66.0</v>
      </c>
      <c r="V1297" s="15">
        <v>44.0</v>
      </c>
      <c r="W1297" s="15">
        <v>25.0</v>
      </c>
      <c r="X1297" s="15">
        <v>133.12</v>
      </c>
      <c r="Y1297" s="15">
        <v>10.0</v>
      </c>
      <c r="Z1297" s="15">
        <v>190.19</v>
      </c>
      <c r="AA1297" s="15">
        <v>30.0</v>
      </c>
      <c r="AB1297" s="15">
        <v>100.0</v>
      </c>
      <c r="AC1297" s="15">
        <v>100.0</v>
      </c>
      <c r="AD1297" s="15">
        <v>24.6</v>
      </c>
      <c r="AE1297" s="15">
        <v>234.7</v>
      </c>
      <c r="AF1297" s="15">
        <v>19.9</v>
      </c>
      <c r="AG1297" s="15">
        <v>74.5</v>
      </c>
      <c r="AH1297" s="15">
        <v>246.44</v>
      </c>
      <c r="AI1297" s="15">
        <v>135.0</v>
      </c>
      <c r="AJ1297" s="15">
        <v>48.88</v>
      </c>
      <c r="AK1297" s="15">
        <v>10.49</v>
      </c>
      <c r="AL1297" s="15">
        <v>59.18</v>
      </c>
      <c r="AM1297" s="15">
        <v>34.6</v>
      </c>
      <c r="AN1297" s="15">
        <v>79.99</v>
      </c>
      <c r="AO1297" s="15">
        <v>60.0</v>
      </c>
      <c r="AP1297" s="15">
        <v>39.7</v>
      </c>
      <c r="AQ1297" s="15">
        <v>44.4</v>
      </c>
      <c r="AR1297" s="15">
        <v>88.23</v>
      </c>
      <c r="AS1297" s="15">
        <v>27.9</v>
      </c>
      <c r="AT1297" s="15">
        <v>92.8</v>
      </c>
      <c r="AU1297" s="15">
        <v>182.0</v>
      </c>
      <c r="AV1297" s="15">
        <v>64.98</v>
      </c>
      <c r="AW1297" s="15">
        <v>440.0</v>
      </c>
      <c r="AX1297" s="15">
        <v>114.0</v>
      </c>
      <c r="AY1297" s="15">
        <v>35.02</v>
      </c>
      <c r="AZ1297" s="15">
        <v>80.29</v>
      </c>
      <c r="BA1297" s="15">
        <v>57.28</v>
      </c>
      <c r="BB1297" s="15">
        <v>105.0</v>
      </c>
      <c r="BC1297" s="15">
        <v>146.23</v>
      </c>
      <c r="BD1297" s="15">
        <v>40.0</v>
      </c>
      <c r="BE1297" s="15">
        <v>126.73</v>
      </c>
      <c r="BF1297" s="15">
        <v>74.0</v>
      </c>
      <c r="BG1297" s="15">
        <v>79.9</v>
      </c>
      <c r="BH1297" s="15">
        <v>67.0</v>
      </c>
      <c r="BI1297" s="15">
        <v>30.0</v>
      </c>
      <c r="BJ1297" s="15">
        <v>14.9</v>
      </c>
      <c r="BK1297" s="15">
        <v>42.5</v>
      </c>
      <c r="BL1297" s="15">
        <v>144.0</v>
      </c>
      <c r="BM1297" s="15">
        <v>78.0</v>
      </c>
      <c r="BN1297" s="15">
        <v>14.0</v>
      </c>
      <c r="BO1297" s="15">
        <v>14.0</v>
      </c>
      <c r="BP1297" s="15">
        <v>56.0</v>
      </c>
      <c r="BQ1297" s="15">
        <v>30.0</v>
      </c>
      <c r="BR1297" s="15">
        <v>30.0</v>
      </c>
      <c r="BS1297" s="15">
        <v>35.03</v>
      </c>
      <c r="BT1297" s="15">
        <v>79.6</v>
      </c>
      <c r="BU1297" s="15">
        <v>92.6</v>
      </c>
      <c r="BV1297" s="15">
        <v>129.98</v>
      </c>
      <c r="BW1297" s="15">
        <v>81.9</v>
      </c>
      <c r="BX1297" s="15">
        <v>30.2</v>
      </c>
      <c r="BY1297" s="15">
        <v>24.0</v>
      </c>
      <c r="BZ1297" s="15">
        <v>52.0</v>
      </c>
      <c r="CA1297" s="15">
        <v>95.0</v>
      </c>
      <c r="CB1297" s="15">
        <v>533.34</v>
      </c>
      <c r="CC1297" s="15">
        <v>123.5</v>
      </c>
      <c r="CD1297" s="15">
        <v>150.0</v>
      </c>
      <c r="CE1297" s="15">
        <v>39.24</v>
      </c>
      <c r="CF1297" s="15">
        <v>78.69</v>
      </c>
      <c r="CG1297" s="15">
        <v>34.9</v>
      </c>
      <c r="CH1297" s="15">
        <v>25.0</v>
      </c>
      <c r="CI1297" s="15">
        <v>37.0</v>
      </c>
      <c r="CJ1297" s="15">
        <v>12.0</v>
      </c>
      <c r="CK1297" s="15">
        <v>12.0</v>
      </c>
      <c r="CL1297" s="15">
        <v>27.9</v>
      </c>
      <c r="CM1297" s="15">
        <v>45.0</v>
      </c>
      <c r="CN1297" s="15">
        <v>51.81</v>
      </c>
      <c r="CO1297" s="15">
        <v>88.0</v>
      </c>
      <c r="CP1297" s="15">
        <v>48.0</v>
      </c>
      <c r="CQ1297" s="15">
        <v>156.0</v>
      </c>
      <c r="CR1297" s="15">
        <v>23.9</v>
      </c>
      <c r="CS1297" s="15">
        <v>90.09</v>
      </c>
      <c r="CT1297" s="15">
        <v>50.0</v>
      </c>
      <c r="CU1297" s="15">
        <v>32.9</v>
      </c>
      <c r="CV1297" s="15">
        <v>45.0</v>
      </c>
      <c r="CW1297" s="15">
        <v>45.0</v>
      </c>
      <c r="CX1297" s="15">
        <v>5.0</v>
      </c>
      <c r="CY1297" s="15">
        <v>37.72</v>
      </c>
      <c r="CZ1297" s="15">
        <v>18.68</v>
      </c>
    </row>
    <row r="1298" ht="15.75" customHeight="1">
      <c r="A1298" s="2" t="s">
        <v>237</v>
      </c>
      <c r="B1298" s="15">
        <v>75.93</v>
      </c>
      <c r="C1298" s="15">
        <v>83.58</v>
      </c>
      <c r="D1298" s="15">
        <v>37.5</v>
      </c>
      <c r="E1298" s="15">
        <v>68.52</v>
      </c>
      <c r="F1298" s="15">
        <v>200.0</v>
      </c>
      <c r="G1298" s="15">
        <v>115.23</v>
      </c>
      <c r="H1298" s="15">
        <v>78.96</v>
      </c>
      <c r="I1298" s="15">
        <v>180.0</v>
      </c>
      <c r="J1298" s="15">
        <v>97.79</v>
      </c>
      <c r="K1298" s="15">
        <v>92.39</v>
      </c>
      <c r="L1298" s="15">
        <v>61.47</v>
      </c>
      <c r="M1298" s="15">
        <v>122.4</v>
      </c>
      <c r="N1298" s="15">
        <v>13.8</v>
      </c>
      <c r="O1298" s="15">
        <v>209.8</v>
      </c>
      <c r="P1298" s="15">
        <v>60.76</v>
      </c>
      <c r="Q1298" s="15">
        <v>192.0</v>
      </c>
      <c r="R1298" s="15">
        <v>49.5</v>
      </c>
      <c r="S1298" s="15">
        <v>458.4</v>
      </c>
      <c r="T1298" s="15">
        <v>64.36</v>
      </c>
      <c r="U1298" s="15">
        <v>11.99</v>
      </c>
      <c r="V1298" s="15">
        <v>225.0</v>
      </c>
      <c r="W1298" s="15">
        <v>9.0</v>
      </c>
      <c r="X1298" s="15">
        <v>165.0</v>
      </c>
      <c r="Y1298" s="15">
        <v>59.99</v>
      </c>
      <c r="Z1298" s="15">
        <v>49.9</v>
      </c>
      <c r="AA1298" s="15">
        <v>155.48</v>
      </c>
      <c r="AB1298" s="15">
        <v>194.0</v>
      </c>
      <c r="AC1298" s="15">
        <v>99.8</v>
      </c>
      <c r="AD1298" s="15">
        <v>14.0</v>
      </c>
      <c r="AE1298" s="15">
        <v>14.7</v>
      </c>
      <c r="AF1298" s="15">
        <v>4.5</v>
      </c>
      <c r="AG1298" s="15">
        <v>100.0</v>
      </c>
      <c r="AH1298" s="15">
        <v>59.95</v>
      </c>
      <c r="AI1298" s="15">
        <v>97.79</v>
      </c>
      <c r="AJ1298" s="15">
        <v>49.9</v>
      </c>
      <c r="AK1298" s="15">
        <v>333.2</v>
      </c>
      <c r="AL1298" s="15">
        <v>16.91</v>
      </c>
      <c r="AM1298" s="15">
        <v>154.0</v>
      </c>
    </row>
    <row r="1299" ht="15.75" customHeight="1">
      <c r="A1299" s="2" t="s">
        <v>246</v>
      </c>
      <c r="B1299" s="3">
        <v>228.0</v>
      </c>
      <c r="C1299" s="3">
        <v>411.9</v>
      </c>
      <c r="D1299" s="3">
        <v>24.8</v>
      </c>
      <c r="E1299" s="3">
        <v>43.76</v>
      </c>
      <c r="F1299" s="3">
        <v>84.96</v>
      </c>
    </row>
    <row r="1300" ht="15.75" customHeight="1">
      <c r="A1300" s="2" t="s">
        <v>212</v>
      </c>
      <c r="B1300" s="15">
        <v>53.0</v>
      </c>
    </row>
    <row r="1301" ht="15.75" customHeight="1">
      <c r="A1301" s="2" t="s">
        <v>108</v>
      </c>
      <c r="B1301" s="15">
        <v>3400.0</v>
      </c>
      <c r="D1301" s="19" t="s">
        <v>252</v>
      </c>
      <c r="E1301" s="15">
        <v>9.58</v>
      </c>
    </row>
    <row r="1302" ht="15.75" customHeight="1">
      <c r="A1302" s="2" t="s">
        <v>88</v>
      </c>
      <c r="B1302" s="15">
        <v>390.76</v>
      </c>
    </row>
    <row r="1303" ht="15.75" customHeight="1">
      <c r="A1303" s="2" t="s">
        <v>109</v>
      </c>
      <c r="B1303" s="15">
        <v>63.15</v>
      </c>
    </row>
    <row r="1304" ht="15.75" customHeight="1">
      <c r="A1304" s="2" t="s">
        <v>83</v>
      </c>
      <c r="B1304" s="15">
        <v>45.91</v>
      </c>
    </row>
    <row r="1305" ht="15.75" customHeight="1"/>
    <row r="1306" ht="15.75" customHeight="1">
      <c r="A1306" s="2" t="s">
        <v>1</v>
      </c>
      <c r="B1306" s="2">
        <f>SUM(B1297:DE1305)</f>
        <v>19367.32</v>
      </c>
    </row>
    <row r="1307" ht="15.75" customHeight="1"/>
    <row r="1308" ht="15.75" customHeight="1">
      <c r="A1308" s="1">
        <v>44986.0</v>
      </c>
    </row>
    <row r="1309" ht="15.75" customHeight="1">
      <c r="A1309" s="2" t="s">
        <v>249</v>
      </c>
      <c r="B1309" s="16">
        <v>154.22</v>
      </c>
      <c r="C1309" s="15">
        <v>49.16</v>
      </c>
      <c r="D1309" s="15">
        <v>10.16</v>
      </c>
      <c r="E1309" s="15">
        <v>44.9</v>
      </c>
      <c r="F1309" s="15">
        <v>84.61</v>
      </c>
      <c r="G1309" s="15">
        <v>54.95</v>
      </c>
      <c r="H1309" s="15">
        <v>101.65</v>
      </c>
      <c r="I1309" s="15">
        <v>95.6</v>
      </c>
      <c r="J1309" s="15">
        <v>39.94</v>
      </c>
      <c r="K1309" s="15">
        <v>533.34</v>
      </c>
      <c r="L1309" s="15">
        <v>92.8</v>
      </c>
      <c r="M1309" s="15">
        <v>350.0</v>
      </c>
      <c r="N1309" s="15">
        <v>86.71</v>
      </c>
      <c r="O1309" s="15">
        <v>31.0</v>
      </c>
      <c r="P1309" s="15">
        <v>35.0</v>
      </c>
      <c r="Q1309" s="15">
        <v>10.0</v>
      </c>
      <c r="R1309" s="15">
        <v>50.0</v>
      </c>
      <c r="S1309" s="15">
        <v>198.2</v>
      </c>
      <c r="T1309" s="15">
        <v>298.88</v>
      </c>
      <c r="U1309" s="15">
        <v>24.48</v>
      </c>
      <c r="V1309" s="15">
        <v>240.0</v>
      </c>
      <c r="W1309" s="15">
        <v>440.0</v>
      </c>
      <c r="X1309" s="15">
        <v>58.21</v>
      </c>
      <c r="Y1309" s="15">
        <v>246.0</v>
      </c>
      <c r="Z1309" s="15">
        <v>63.28</v>
      </c>
      <c r="AA1309" s="15">
        <v>110.0</v>
      </c>
      <c r="AB1309" s="15">
        <v>110.6</v>
      </c>
      <c r="AC1309" s="15">
        <v>235.9</v>
      </c>
      <c r="AD1309" s="15">
        <v>53.0</v>
      </c>
      <c r="AE1309" s="15">
        <v>53.1</v>
      </c>
      <c r="AF1309" s="15">
        <v>161.2</v>
      </c>
      <c r="AG1309" s="15">
        <v>297.99</v>
      </c>
      <c r="AH1309" s="15">
        <v>597.71</v>
      </c>
      <c r="AI1309" s="15">
        <v>79.5</v>
      </c>
      <c r="AJ1309" s="15">
        <v>146.0</v>
      </c>
      <c r="AK1309" s="15">
        <v>35.0</v>
      </c>
      <c r="AL1309" s="15">
        <v>60.0</v>
      </c>
      <c r="AM1309" s="15">
        <v>72.88</v>
      </c>
      <c r="AN1309" s="15">
        <v>40.0</v>
      </c>
      <c r="AO1309" s="15">
        <v>222.12</v>
      </c>
      <c r="AP1309" s="15">
        <v>19.0</v>
      </c>
      <c r="AQ1309" s="15">
        <v>59.0</v>
      </c>
      <c r="AR1309" s="15">
        <v>13.0</v>
      </c>
      <c r="AS1309" s="15">
        <v>75.3</v>
      </c>
      <c r="AT1309" s="15">
        <v>67.0</v>
      </c>
      <c r="AU1309" s="15">
        <v>71.9</v>
      </c>
      <c r="AV1309" s="15">
        <v>100.0</v>
      </c>
      <c r="AW1309" s="15">
        <v>39.9</v>
      </c>
      <c r="AX1309" s="15">
        <v>71.0</v>
      </c>
      <c r="AY1309" s="15">
        <v>164.0</v>
      </c>
      <c r="AZ1309" s="15">
        <v>14.9</v>
      </c>
      <c r="BA1309" s="15">
        <v>4.5</v>
      </c>
      <c r="BB1309" s="15">
        <v>9.58</v>
      </c>
      <c r="BC1309" s="15">
        <v>60.0</v>
      </c>
      <c r="BD1309" s="15">
        <v>168.12</v>
      </c>
      <c r="BE1309" s="15">
        <v>72.0</v>
      </c>
      <c r="BF1309" s="15">
        <v>257.4</v>
      </c>
      <c r="BG1309" s="15">
        <v>35.03</v>
      </c>
      <c r="BH1309" s="15">
        <v>61.64</v>
      </c>
      <c r="BI1309" s="15">
        <v>119.5</v>
      </c>
      <c r="BJ1309" s="15">
        <v>76.08</v>
      </c>
      <c r="BK1309" s="15">
        <v>30.0</v>
      </c>
      <c r="BL1309" s="15">
        <v>30.5</v>
      </c>
      <c r="BM1309" s="15">
        <v>84.02</v>
      </c>
      <c r="BN1309" s="15">
        <v>250.0</v>
      </c>
      <c r="BO1309" s="15">
        <v>93.14</v>
      </c>
      <c r="BP1309" s="15">
        <v>57.87</v>
      </c>
      <c r="BQ1309" s="15">
        <v>163.0</v>
      </c>
      <c r="BR1309" s="15">
        <v>15.74</v>
      </c>
      <c r="BS1309" s="15">
        <v>36.0</v>
      </c>
      <c r="BT1309" s="15">
        <v>341.99</v>
      </c>
      <c r="BU1309" s="15">
        <v>28.75</v>
      </c>
      <c r="BV1309" s="15">
        <v>24.2</v>
      </c>
      <c r="BW1309" s="15">
        <v>78.8</v>
      </c>
      <c r="BX1309" s="15">
        <v>65.61</v>
      </c>
      <c r="BY1309" s="15">
        <v>100.0</v>
      </c>
      <c r="BZ1309" s="15">
        <v>136.51</v>
      </c>
      <c r="CA1309" s="15">
        <v>65.9</v>
      </c>
      <c r="CB1309" s="15">
        <v>10.0</v>
      </c>
      <c r="CC1309" s="15">
        <v>90.0</v>
      </c>
      <c r="CD1309" s="15">
        <v>77.29</v>
      </c>
      <c r="CE1309" s="15">
        <v>154.0</v>
      </c>
      <c r="CF1309" s="15">
        <v>34.9</v>
      </c>
      <c r="CG1309" s="15">
        <v>80.0</v>
      </c>
      <c r="CH1309" s="15">
        <v>31.0</v>
      </c>
      <c r="CI1309" s="15">
        <v>29.0</v>
      </c>
      <c r="CJ1309" s="15">
        <v>75.0</v>
      </c>
      <c r="CK1309" s="15">
        <v>27.9</v>
      </c>
      <c r="CL1309" s="15">
        <v>30.0</v>
      </c>
      <c r="CM1309" s="15">
        <v>187.0</v>
      </c>
      <c r="CN1309" s="15">
        <v>105.2</v>
      </c>
      <c r="CO1309" s="15">
        <v>40.0</v>
      </c>
      <c r="CP1309" s="15">
        <v>87.0</v>
      </c>
      <c r="CQ1309" s="15">
        <v>64.0</v>
      </c>
      <c r="CR1309" s="15">
        <v>20.0</v>
      </c>
      <c r="CS1309" s="15">
        <v>124.23</v>
      </c>
      <c r="CT1309" s="15">
        <v>40.0</v>
      </c>
      <c r="CU1309" s="15">
        <v>100.0</v>
      </c>
    </row>
    <row r="1310" ht="15.75" customHeight="1">
      <c r="A1310" s="2" t="s">
        <v>237</v>
      </c>
      <c r="B1310" s="15">
        <v>68.52</v>
      </c>
      <c r="C1310" s="15">
        <v>115.23</v>
      </c>
      <c r="D1310" s="15">
        <v>49.5</v>
      </c>
      <c r="E1310" s="15">
        <v>59.99</v>
      </c>
      <c r="F1310" s="15">
        <v>122.4</v>
      </c>
      <c r="G1310" s="15">
        <v>59.95</v>
      </c>
      <c r="H1310" s="15">
        <v>97.79</v>
      </c>
      <c r="I1310" s="15">
        <v>92.39</v>
      </c>
      <c r="J1310" s="15">
        <v>61.47</v>
      </c>
      <c r="K1310" s="15">
        <v>333.2</v>
      </c>
      <c r="L1310" s="15">
        <v>28.9</v>
      </c>
      <c r="M1310" s="15">
        <v>60.19</v>
      </c>
      <c r="N1310" s="15">
        <v>80.37</v>
      </c>
      <c r="O1310" s="15">
        <v>56.79</v>
      </c>
      <c r="P1310" s="15">
        <v>49.0</v>
      </c>
      <c r="Q1310" s="15">
        <v>81.96</v>
      </c>
      <c r="R1310" s="15">
        <v>58.5</v>
      </c>
      <c r="S1310" s="15">
        <v>65.93</v>
      </c>
      <c r="T1310" s="15">
        <v>136.0</v>
      </c>
      <c r="U1310" s="15">
        <v>110.0</v>
      </c>
      <c r="V1310" s="15">
        <v>150.0</v>
      </c>
      <c r="W1310" s="15">
        <v>85.94</v>
      </c>
      <c r="X1310" s="15">
        <v>70.0</v>
      </c>
      <c r="Y1310" s="15">
        <v>129.95</v>
      </c>
      <c r="Z1310" s="15">
        <v>53.44</v>
      </c>
      <c r="AA1310" s="15">
        <v>164.64</v>
      </c>
      <c r="AB1310" s="15">
        <v>102.61</v>
      </c>
      <c r="AC1310" s="15">
        <v>4.5</v>
      </c>
      <c r="AD1310" s="15">
        <v>28.78</v>
      </c>
      <c r="AE1310" s="15">
        <v>218.56</v>
      </c>
    </row>
    <row r="1311" ht="15.75" customHeight="1">
      <c r="A1311" s="2" t="s">
        <v>246</v>
      </c>
      <c r="B1311" s="3">
        <v>228.0</v>
      </c>
      <c r="C1311" s="3">
        <v>411.9</v>
      </c>
      <c r="D1311" s="3">
        <v>24.8</v>
      </c>
      <c r="E1311" s="3">
        <v>43.76</v>
      </c>
      <c r="F1311" s="3">
        <v>84.96</v>
      </c>
    </row>
    <row r="1312" ht="15.75" customHeight="1">
      <c r="A1312" s="2" t="s">
        <v>212</v>
      </c>
      <c r="B1312" s="19">
        <v>53.0</v>
      </c>
    </row>
    <row r="1313" ht="15.75" customHeight="1">
      <c r="A1313" s="2" t="s">
        <v>108</v>
      </c>
      <c r="B1313" s="15">
        <v>2100.0</v>
      </c>
      <c r="D1313" s="19" t="s">
        <v>253</v>
      </c>
      <c r="E1313" s="15">
        <v>1200.0</v>
      </c>
    </row>
    <row r="1314" ht="15.75" customHeight="1">
      <c r="A1314" s="2" t="s">
        <v>88</v>
      </c>
      <c r="B1314" s="15">
        <v>416.44</v>
      </c>
    </row>
    <row r="1315" ht="15.75" customHeight="1">
      <c r="A1315" s="2" t="s">
        <v>109</v>
      </c>
      <c r="B1315" s="15">
        <v>109.39</v>
      </c>
    </row>
    <row r="1316" ht="15.75" customHeight="1">
      <c r="A1316" s="2" t="s">
        <v>83</v>
      </c>
      <c r="B1316" s="15">
        <v>45.91</v>
      </c>
    </row>
    <row r="1317" ht="15.75" customHeight="1">
      <c r="A1317" s="19" t="s">
        <v>252</v>
      </c>
      <c r="B1317" s="15">
        <v>207.83</v>
      </c>
    </row>
    <row r="1318" ht="15.75" customHeight="1">
      <c r="A1318" s="2" t="s">
        <v>1</v>
      </c>
      <c r="B1318" s="2">
        <f>SUM(B1309:BY1317)</f>
        <v>16349.05</v>
      </c>
    </row>
    <row r="1319" ht="15.75" customHeight="1"/>
    <row r="1320" ht="15.75" customHeight="1">
      <c r="A1320" s="1">
        <v>45383.0</v>
      </c>
    </row>
    <row r="1321" ht="15.75" customHeight="1">
      <c r="A1321" s="2" t="s">
        <v>249</v>
      </c>
      <c r="B1321" s="16">
        <v>154.22</v>
      </c>
      <c r="C1321" s="15">
        <v>49.16</v>
      </c>
      <c r="D1321" s="15">
        <v>44.9</v>
      </c>
      <c r="E1321" s="15">
        <v>84.61</v>
      </c>
      <c r="F1321" s="15">
        <v>95.6</v>
      </c>
      <c r="G1321" s="15">
        <v>533.34</v>
      </c>
      <c r="H1321" s="15">
        <v>298.88</v>
      </c>
      <c r="I1321" s="15">
        <v>161.2</v>
      </c>
      <c r="J1321" s="15">
        <v>119.5</v>
      </c>
      <c r="K1321" s="15">
        <v>75.99</v>
      </c>
      <c r="L1321" s="15">
        <v>76.7</v>
      </c>
      <c r="M1321" s="15">
        <v>63.26</v>
      </c>
      <c r="N1321" s="15">
        <v>79.9</v>
      </c>
      <c r="O1321" s="15">
        <v>81.4</v>
      </c>
      <c r="P1321" s="15">
        <v>130.5</v>
      </c>
      <c r="Q1321" s="15">
        <v>150.0</v>
      </c>
      <c r="R1321" s="15">
        <v>100.0</v>
      </c>
      <c r="S1321" s="15">
        <v>857.6</v>
      </c>
      <c r="T1321" s="15">
        <v>187.94</v>
      </c>
      <c r="U1321" s="15">
        <v>31.47</v>
      </c>
      <c r="V1321" s="15">
        <v>34.35</v>
      </c>
      <c r="W1321" s="15">
        <v>320.0</v>
      </c>
      <c r="X1321" s="15">
        <v>5.0</v>
      </c>
      <c r="Y1321" s="15">
        <v>34.0</v>
      </c>
      <c r="Z1321" s="15">
        <v>329.56</v>
      </c>
      <c r="AA1321" s="15">
        <v>70.06</v>
      </c>
      <c r="AB1321" s="15">
        <v>97.0</v>
      </c>
      <c r="AC1321" s="15">
        <v>51.0</v>
      </c>
      <c r="AD1321" s="15">
        <v>51.33</v>
      </c>
      <c r="AE1321" s="15">
        <v>837.0</v>
      </c>
      <c r="AF1321" s="15">
        <v>105.0</v>
      </c>
      <c r="AG1321" s="15">
        <v>4.5</v>
      </c>
      <c r="AH1321" s="15">
        <v>72.63</v>
      </c>
      <c r="AI1321" s="15">
        <v>67.0</v>
      </c>
      <c r="AJ1321" s="15">
        <v>150.0</v>
      </c>
      <c r="AK1321" s="15">
        <v>69.59</v>
      </c>
      <c r="AL1321" s="15">
        <v>236.0</v>
      </c>
      <c r="AM1321" s="15">
        <v>59.39</v>
      </c>
      <c r="AN1321" s="15">
        <v>3010.0</v>
      </c>
      <c r="AO1321" s="15">
        <v>35.03</v>
      </c>
      <c r="AP1321" s="15">
        <v>14.97</v>
      </c>
      <c r="AQ1321" s="15">
        <v>103.0</v>
      </c>
      <c r="AR1321" s="15">
        <v>44.49</v>
      </c>
      <c r="AS1321" s="15">
        <v>9.39</v>
      </c>
      <c r="AT1321" s="15">
        <v>70.0</v>
      </c>
      <c r="AU1321" s="15">
        <v>51.72</v>
      </c>
      <c r="AV1321" s="15">
        <v>58.32</v>
      </c>
      <c r="AW1321" s="15">
        <v>98.0</v>
      </c>
      <c r="AX1321" s="15">
        <v>332.45</v>
      </c>
      <c r="AY1321" s="15">
        <v>90.85</v>
      </c>
      <c r="AZ1321" s="15">
        <v>32.0</v>
      </c>
      <c r="BA1321" s="15">
        <v>21.9</v>
      </c>
      <c r="BB1321" s="15">
        <v>24.0</v>
      </c>
      <c r="BC1321" s="15">
        <v>224.81</v>
      </c>
      <c r="BD1321" s="15">
        <v>55.0</v>
      </c>
      <c r="BE1321" s="15">
        <v>33.75</v>
      </c>
      <c r="BF1321" s="15">
        <v>34.9</v>
      </c>
      <c r="BG1321" s="15">
        <v>48.5</v>
      </c>
    </row>
    <row r="1322" ht="15.75" customHeight="1">
      <c r="A1322" s="2" t="s">
        <v>237</v>
      </c>
      <c r="B1322" s="15">
        <v>68.52</v>
      </c>
      <c r="C1322" s="15">
        <v>49.5</v>
      </c>
      <c r="D1322" s="15">
        <v>97.79</v>
      </c>
      <c r="E1322" s="15">
        <v>92.39</v>
      </c>
      <c r="F1322" s="15">
        <v>61.47</v>
      </c>
      <c r="G1322" s="15">
        <v>333.2</v>
      </c>
      <c r="H1322" s="15">
        <v>80.37</v>
      </c>
      <c r="I1322" s="15">
        <v>129.95</v>
      </c>
      <c r="J1322" s="15">
        <v>164.64</v>
      </c>
      <c r="K1322" s="15">
        <v>28.76</v>
      </c>
      <c r="L1322" s="15">
        <v>20.5</v>
      </c>
      <c r="M1322" s="15">
        <v>24.97</v>
      </c>
      <c r="N1322" s="15">
        <v>56.7</v>
      </c>
      <c r="O1322" s="15">
        <v>66.0</v>
      </c>
      <c r="P1322" s="15">
        <v>100.0</v>
      </c>
      <c r="Q1322" s="15">
        <v>103.86</v>
      </c>
      <c r="R1322" s="15">
        <v>100.0</v>
      </c>
      <c r="S1322" s="15">
        <v>58.0</v>
      </c>
      <c r="T1322" s="15">
        <v>64.4</v>
      </c>
      <c r="U1322" s="15">
        <v>30.2</v>
      </c>
      <c r="V1322" s="15">
        <v>18.97</v>
      </c>
      <c r="W1322" s="15">
        <v>230.56</v>
      </c>
      <c r="X1322" s="15">
        <v>17.5</v>
      </c>
      <c r="Y1322" s="15">
        <v>8.5</v>
      </c>
      <c r="Z1322" s="15">
        <v>14.21</v>
      </c>
      <c r="AA1322" s="15">
        <v>71.0</v>
      </c>
      <c r="AB1322" s="15">
        <v>110.0</v>
      </c>
      <c r="AC1322" s="15">
        <v>133.0</v>
      </c>
      <c r="AD1322" s="15">
        <v>157.17</v>
      </c>
    </row>
    <row r="1323" ht="15.75" customHeight="1">
      <c r="A1323" s="2" t="s">
        <v>246</v>
      </c>
      <c r="B1323" s="3">
        <v>228.0</v>
      </c>
      <c r="C1323" s="3">
        <v>411.9</v>
      </c>
      <c r="D1323" s="3">
        <v>24.8</v>
      </c>
      <c r="E1323" s="3">
        <v>43.76</v>
      </c>
      <c r="F1323" s="3">
        <v>84.96</v>
      </c>
    </row>
    <row r="1324" ht="15.75" customHeight="1">
      <c r="A1324" s="2" t="s">
        <v>212</v>
      </c>
      <c r="B1324" s="15">
        <v>53.0</v>
      </c>
    </row>
    <row r="1325" ht="15.75" customHeight="1">
      <c r="A1325" s="2" t="s">
        <v>108</v>
      </c>
      <c r="B1325" s="15">
        <v>200.0</v>
      </c>
    </row>
    <row r="1326" ht="15.75" customHeight="1">
      <c r="A1326" s="2" t="s">
        <v>88</v>
      </c>
      <c r="B1326" s="15">
        <v>350.89</v>
      </c>
    </row>
    <row r="1327" ht="15.75" customHeight="1">
      <c r="A1327" s="2" t="s">
        <v>109</v>
      </c>
      <c r="B1327" s="15">
        <v>113.81</v>
      </c>
    </row>
    <row r="1328" ht="15.75" customHeight="1">
      <c r="A1328" s="2" t="s">
        <v>83</v>
      </c>
      <c r="B1328" s="15">
        <v>45.91</v>
      </c>
    </row>
    <row r="1329" ht="15.75" customHeight="1">
      <c r="A1329" s="19" t="s">
        <v>252</v>
      </c>
      <c r="B1329" s="15">
        <v>207.83</v>
      </c>
    </row>
    <row r="1330" ht="15.75" customHeight="1">
      <c r="A1330" s="2" t="s">
        <v>1</v>
      </c>
      <c r="B1330" s="2">
        <f>SUM(B1321:CR1329)</f>
        <v>14619.65</v>
      </c>
    </row>
    <row r="1331" ht="15.75" customHeight="1"/>
    <row r="1332" ht="15.75" customHeight="1">
      <c r="A1332" s="1">
        <v>45413.0</v>
      </c>
    </row>
    <row r="1333" ht="15.75" customHeight="1">
      <c r="A1333" s="2" t="s">
        <v>249</v>
      </c>
      <c r="B1333" s="16">
        <v>154.22</v>
      </c>
      <c r="C1333" s="15">
        <v>49.16</v>
      </c>
      <c r="D1333" s="15">
        <v>44.9</v>
      </c>
      <c r="E1333" s="15">
        <v>84.61</v>
      </c>
      <c r="F1333" s="15">
        <v>298.88</v>
      </c>
      <c r="G1333" s="15">
        <v>161.2</v>
      </c>
      <c r="H1333" s="15">
        <v>75.99</v>
      </c>
      <c r="I1333" s="15">
        <v>63.26</v>
      </c>
      <c r="J1333" s="15">
        <v>857.6</v>
      </c>
      <c r="K1333" s="15">
        <v>105.0</v>
      </c>
      <c r="L1333" s="15">
        <v>44.49</v>
      </c>
      <c r="M1333" s="15">
        <v>76.66</v>
      </c>
      <c r="N1333" s="15">
        <v>33.75</v>
      </c>
      <c r="O1333" s="15">
        <v>14.9</v>
      </c>
      <c r="P1333" s="15">
        <v>46.0</v>
      </c>
      <c r="Q1333" s="15">
        <v>320.0</v>
      </c>
      <c r="R1333" s="15">
        <v>76.5</v>
      </c>
      <c r="S1333" s="15">
        <v>140.8</v>
      </c>
      <c r="T1333" s="15">
        <v>99.9</v>
      </c>
      <c r="U1333" s="15">
        <v>45.0</v>
      </c>
      <c r="V1333" s="15">
        <v>35.98</v>
      </c>
      <c r="W1333" s="15">
        <v>10.0</v>
      </c>
      <c r="X1333" s="15">
        <v>75.96</v>
      </c>
      <c r="Y1333" s="15">
        <v>130.0</v>
      </c>
      <c r="Z1333" s="15">
        <v>26.5</v>
      </c>
      <c r="AA1333" s="15">
        <v>37.06</v>
      </c>
      <c r="AB1333" s="15">
        <v>238.94</v>
      </c>
      <c r="AC1333" s="15">
        <v>139.9</v>
      </c>
      <c r="AD1333" s="15">
        <v>94.7</v>
      </c>
      <c r="AE1333" s="15">
        <v>69.9</v>
      </c>
      <c r="AF1333" s="15">
        <v>73.0</v>
      </c>
      <c r="AG1333" s="15">
        <v>196.7</v>
      </c>
      <c r="AH1333" s="15">
        <v>31.0</v>
      </c>
      <c r="AI1333" s="15">
        <v>154.9</v>
      </c>
      <c r="AJ1333" s="15">
        <v>790.0</v>
      </c>
      <c r="AK1333" s="15">
        <v>139.9</v>
      </c>
      <c r="AL1333" s="15">
        <v>50.0</v>
      </c>
      <c r="AM1333" s="15">
        <v>20.0</v>
      </c>
      <c r="AN1333" s="15">
        <v>29.9</v>
      </c>
      <c r="AO1333" s="15">
        <v>123.24</v>
      </c>
      <c r="AP1333" s="15">
        <v>174.76</v>
      </c>
      <c r="AQ1333" s="15">
        <v>82.37</v>
      </c>
      <c r="AR1333" s="15">
        <v>76.96</v>
      </c>
      <c r="AS1333" s="15">
        <v>14.89</v>
      </c>
      <c r="AT1333" s="15">
        <v>111.2</v>
      </c>
      <c r="AU1333" s="15">
        <v>70.9</v>
      </c>
      <c r="AV1333" s="15">
        <v>40.0</v>
      </c>
      <c r="AW1333" s="15">
        <v>21.0</v>
      </c>
      <c r="AX1333" s="15">
        <v>137.28</v>
      </c>
      <c r="AY1333" s="15">
        <v>99.0</v>
      </c>
      <c r="AZ1333" s="15">
        <v>49.0</v>
      </c>
      <c r="BA1333" s="15">
        <v>19.9</v>
      </c>
      <c r="BB1333" s="15">
        <v>20.0</v>
      </c>
      <c r="BC1333" s="15">
        <v>211.79</v>
      </c>
      <c r="BD1333" s="15">
        <v>5.2</v>
      </c>
      <c r="BE1333" s="15">
        <v>277.8</v>
      </c>
      <c r="BF1333" s="15">
        <v>39.4</v>
      </c>
      <c r="BG1333" s="15">
        <v>27.9</v>
      </c>
      <c r="BH1333" s="15">
        <v>35.03</v>
      </c>
      <c r="BI1333" s="15">
        <v>19.94</v>
      </c>
      <c r="BJ1333" s="15">
        <v>233.8</v>
      </c>
      <c r="BK1333" s="15">
        <v>83.76</v>
      </c>
      <c r="BL1333" s="15">
        <v>87.81</v>
      </c>
      <c r="BM1333" s="15">
        <v>135.0</v>
      </c>
      <c r="BN1333" s="15">
        <v>45.0</v>
      </c>
      <c r="BO1333" s="15">
        <v>59.0</v>
      </c>
      <c r="BP1333" s="15">
        <v>17.0</v>
      </c>
      <c r="BQ1333" s="15">
        <v>55.0</v>
      </c>
      <c r="BR1333" s="15">
        <v>22.49</v>
      </c>
      <c r="BS1333" s="15">
        <v>154.0</v>
      </c>
      <c r="BT1333" s="15">
        <v>17.0</v>
      </c>
      <c r="BU1333" s="15">
        <v>48.0</v>
      </c>
      <c r="BV1333" s="15">
        <v>275.92</v>
      </c>
      <c r="BW1333" s="15">
        <v>240.72</v>
      </c>
      <c r="BX1333" s="15">
        <v>140.0</v>
      </c>
      <c r="BY1333" s="15">
        <v>30.0</v>
      </c>
      <c r="BZ1333" s="15">
        <v>55.0</v>
      </c>
      <c r="CA1333" s="15">
        <v>178.0</v>
      </c>
      <c r="CB1333" s="15">
        <v>20.0</v>
      </c>
      <c r="CC1333" s="15">
        <v>24.92</v>
      </c>
      <c r="CD1333" s="15">
        <v>34.9</v>
      </c>
      <c r="CE1333" s="15">
        <v>90.0</v>
      </c>
      <c r="CF1333" s="15">
        <v>74.17</v>
      </c>
      <c r="CG1333" s="15">
        <v>27.9</v>
      </c>
      <c r="CH1333" s="15">
        <v>132.0</v>
      </c>
      <c r="CI1333" s="15">
        <v>98.29</v>
      </c>
      <c r="CJ1333" s="15">
        <v>107.0</v>
      </c>
      <c r="CK1333" s="15">
        <v>83.0</v>
      </c>
      <c r="CL1333" s="15">
        <v>227.92</v>
      </c>
      <c r="CM1333" s="15">
        <v>36.9</v>
      </c>
      <c r="CN1333" s="15">
        <v>10.0</v>
      </c>
      <c r="CO1333" s="15">
        <v>71.75</v>
      </c>
      <c r="CP1333" s="15">
        <v>45.48</v>
      </c>
      <c r="CQ1333" s="15">
        <v>40.0</v>
      </c>
      <c r="CR1333" s="15">
        <v>178.2</v>
      </c>
      <c r="CS1333" s="15">
        <v>6.99</v>
      </c>
    </row>
    <row r="1334" ht="15.75" customHeight="1">
      <c r="A1334" s="2" t="s">
        <v>237</v>
      </c>
      <c r="B1334" s="15">
        <v>68.52</v>
      </c>
      <c r="C1334" s="15">
        <v>49.5</v>
      </c>
      <c r="D1334" s="15">
        <v>92.37</v>
      </c>
      <c r="E1334" s="15">
        <v>61.47</v>
      </c>
      <c r="F1334" s="15">
        <v>333.2</v>
      </c>
      <c r="G1334" s="15">
        <v>164.64</v>
      </c>
      <c r="H1334" s="15">
        <v>28.76</v>
      </c>
      <c r="I1334" s="15">
        <v>103.87</v>
      </c>
      <c r="J1334" s="15">
        <v>8.25</v>
      </c>
      <c r="K1334" s="15">
        <v>106.71</v>
      </c>
      <c r="L1334" s="15">
        <v>1156.85</v>
      </c>
      <c r="M1334" s="15">
        <v>124.59</v>
      </c>
      <c r="N1334" s="15">
        <v>60.6</v>
      </c>
      <c r="O1334" s="15">
        <v>6.0</v>
      </c>
      <c r="P1334" s="15">
        <v>4.5</v>
      </c>
      <c r="Q1334" s="15">
        <v>84.45</v>
      </c>
      <c r="R1334" s="15">
        <v>687.24</v>
      </c>
      <c r="S1334" s="15">
        <v>5.0</v>
      </c>
      <c r="T1334" s="15">
        <v>35.45</v>
      </c>
      <c r="U1334" s="15">
        <v>2.99</v>
      </c>
      <c r="V1334" s="15">
        <v>130.03</v>
      </c>
      <c r="W1334" s="15">
        <v>18.0</v>
      </c>
      <c r="X1334" s="15">
        <v>18.0</v>
      </c>
      <c r="Y1334" s="15">
        <v>60.0</v>
      </c>
      <c r="Z1334" s="15">
        <v>142.63</v>
      </c>
      <c r="AA1334" s="15">
        <v>14.99</v>
      </c>
      <c r="AB1334" s="15">
        <v>19.0</v>
      </c>
      <c r="AC1334" s="15">
        <v>17.5</v>
      </c>
      <c r="AD1334" s="15">
        <v>49.0</v>
      </c>
      <c r="AE1334" s="15">
        <v>38.5</v>
      </c>
      <c r="AF1334" s="15">
        <v>42.0</v>
      </c>
      <c r="AG1334" s="15">
        <v>84.71</v>
      </c>
      <c r="AH1334" s="15">
        <v>92.0</v>
      </c>
      <c r="AI1334" s="15">
        <v>36.9</v>
      </c>
      <c r="AJ1334" s="15">
        <v>54.4</v>
      </c>
      <c r="AK1334" s="15">
        <v>88.0</v>
      </c>
      <c r="AL1334" s="15">
        <v>23.5</v>
      </c>
      <c r="AM1334" s="15">
        <v>154.64</v>
      </c>
    </row>
    <row r="1335" ht="15.75" customHeight="1">
      <c r="A1335" s="2" t="s">
        <v>246</v>
      </c>
      <c r="B1335" s="3">
        <v>24.8</v>
      </c>
      <c r="C1335" s="3">
        <v>43.76</v>
      </c>
      <c r="D1335" s="3">
        <v>84.96</v>
      </c>
    </row>
    <row r="1336" ht="15.75" customHeight="1">
      <c r="A1336" s="2" t="s">
        <v>212</v>
      </c>
      <c r="B1336" s="15">
        <v>53.0</v>
      </c>
    </row>
    <row r="1337" ht="15.75" customHeight="1">
      <c r="A1337" s="2" t="s">
        <v>108</v>
      </c>
      <c r="B1337" s="15">
        <v>100.0</v>
      </c>
      <c r="D1337" s="19" t="s">
        <v>254</v>
      </c>
      <c r="E1337" s="15">
        <v>1660.0</v>
      </c>
    </row>
    <row r="1338" ht="15.75" customHeight="1">
      <c r="A1338" s="2" t="s">
        <v>88</v>
      </c>
      <c r="B1338" s="15">
        <v>414.34</v>
      </c>
    </row>
    <row r="1339" ht="15.75" customHeight="1">
      <c r="A1339" s="2" t="s">
        <v>109</v>
      </c>
      <c r="B1339" s="15">
        <v>113.81</v>
      </c>
    </row>
    <row r="1340" ht="15.75" customHeight="1">
      <c r="A1340" s="2" t="s">
        <v>83</v>
      </c>
      <c r="B1340" s="15">
        <v>45.91</v>
      </c>
    </row>
    <row r="1341" ht="15.75" customHeight="1">
      <c r="A1341" s="19" t="s">
        <v>252</v>
      </c>
      <c r="B1341" s="15">
        <v>207.83</v>
      </c>
    </row>
    <row r="1342" ht="15.75" customHeight="1">
      <c r="A1342" s="2" t="s">
        <v>1</v>
      </c>
      <c r="B1342" s="2">
        <f>SUM(B1333:BS1341)</f>
        <v>14704.75</v>
      </c>
    </row>
    <row r="1343" ht="15.75" customHeight="1"/>
    <row r="1344" ht="15.75" customHeight="1">
      <c r="A1344" s="1">
        <v>45444.0</v>
      </c>
    </row>
    <row r="1345" ht="15.75" customHeight="1">
      <c r="A1345" s="2" t="s">
        <v>249</v>
      </c>
      <c r="B1345" s="16">
        <v>154.22</v>
      </c>
      <c r="C1345" s="15">
        <v>49.16</v>
      </c>
      <c r="D1345" s="15">
        <v>44.9</v>
      </c>
      <c r="E1345" s="15">
        <v>84.61</v>
      </c>
      <c r="F1345" s="15">
        <v>298.88</v>
      </c>
      <c r="G1345" s="15">
        <v>75.99</v>
      </c>
      <c r="H1345" s="15">
        <v>857.6</v>
      </c>
      <c r="I1345" s="15">
        <v>44.46</v>
      </c>
      <c r="J1345" s="15">
        <v>76.66</v>
      </c>
      <c r="K1345" s="15">
        <v>140.8</v>
      </c>
      <c r="L1345" s="15">
        <v>238.94</v>
      </c>
      <c r="M1345" s="15">
        <v>69.9</v>
      </c>
      <c r="N1345" s="15">
        <v>123.24</v>
      </c>
      <c r="O1345" s="15">
        <v>111.2</v>
      </c>
      <c r="P1345" s="15">
        <v>70.9</v>
      </c>
      <c r="Q1345" s="15">
        <v>68.53</v>
      </c>
      <c r="R1345" s="15">
        <v>71.37</v>
      </c>
      <c r="S1345" s="15">
        <v>115.0</v>
      </c>
      <c r="T1345" s="15">
        <v>44.9</v>
      </c>
      <c r="U1345" s="15">
        <v>54.7</v>
      </c>
      <c r="V1345" s="15">
        <v>36.0</v>
      </c>
      <c r="W1345" s="15">
        <v>18.0</v>
      </c>
      <c r="X1345" s="15">
        <v>36.0</v>
      </c>
      <c r="Y1345" s="15">
        <v>18.0</v>
      </c>
      <c r="Z1345" s="15">
        <v>8.0</v>
      </c>
      <c r="AA1345" s="15">
        <v>20.0</v>
      </c>
      <c r="AB1345" s="15">
        <v>440.0</v>
      </c>
      <c r="AC1345" s="15">
        <v>33.07</v>
      </c>
      <c r="AD1345" s="15">
        <v>41.5</v>
      </c>
      <c r="AE1345" s="15">
        <v>26.5</v>
      </c>
      <c r="AF1345" s="15">
        <v>352.31</v>
      </c>
      <c r="AG1345" s="15">
        <v>39.0</v>
      </c>
      <c r="AH1345" s="15">
        <v>133.99</v>
      </c>
      <c r="AI1345" s="15">
        <v>20.0</v>
      </c>
      <c r="AJ1345" s="15">
        <v>20.0</v>
      </c>
      <c r="AK1345" s="15">
        <v>302.0</v>
      </c>
      <c r="AL1345" s="15">
        <v>45.0</v>
      </c>
      <c r="AM1345" s="15">
        <v>56.64</v>
      </c>
      <c r="AN1345" s="15">
        <v>106.17</v>
      </c>
      <c r="AO1345" s="15">
        <v>97.0</v>
      </c>
      <c r="AP1345" s="15">
        <v>207.0</v>
      </c>
      <c r="AQ1345" s="15">
        <v>34.0</v>
      </c>
      <c r="AR1345" s="15">
        <v>147.56</v>
      </c>
      <c r="AS1345" s="15">
        <v>31.9</v>
      </c>
      <c r="AT1345" s="15">
        <v>69.96</v>
      </c>
      <c r="AU1345" s="15">
        <v>63.0</v>
      </c>
      <c r="AV1345" s="15">
        <v>53.03</v>
      </c>
      <c r="AW1345" s="15">
        <v>35.03</v>
      </c>
      <c r="AX1345" s="15">
        <v>40.9</v>
      </c>
      <c r="AY1345" s="15">
        <v>89.5</v>
      </c>
      <c r="AZ1345" s="15">
        <v>130.0</v>
      </c>
      <c r="BA1345" s="15">
        <v>33.22</v>
      </c>
      <c r="BB1345" s="15">
        <v>74.7</v>
      </c>
      <c r="BC1345" s="15">
        <v>147.0</v>
      </c>
      <c r="BD1345" s="15">
        <v>18.0</v>
      </c>
      <c r="BE1345" s="15">
        <v>18.0</v>
      </c>
      <c r="BF1345" s="15">
        <v>18.0</v>
      </c>
      <c r="BG1345" s="15">
        <v>39.0</v>
      </c>
      <c r="BH1345" s="15">
        <v>8.0</v>
      </c>
      <c r="BI1345" s="15">
        <v>8.0</v>
      </c>
      <c r="BJ1345" s="15">
        <v>28.0</v>
      </c>
      <c r="BK1345" s="15">
        <v>14.0</v>
      </c>
      <c r="BL1345" s="15">
        <v>8.0</v>
      </c>
      <c r="BM1345" s="15">
        <v>26.0</v>
      </c>
      <c r="BN1345" s="15">
        <v>26.88</v>
      </c>
      <c r="BO1345" s="15">
        <v>54.0</v>
      </c>
      <c r="BP1345" s="15">
        <v>20.9</v>
      </c>
      <c r="BQ1345" s="15">
        <v>32.0</v>
      </c>
      <c r="BR1345" s="15">
        <v>60.0</v>
      </c>
      <c r="BS1345" s="15">
        <v>33.0</v>
      </c>
      <c r="BT1345" s="15">
        <v>98.0</v>
      </c>
      <c r="BU1345" s="15">
        <v>67.98</v>
      </c>
      <c r="BV1345" s="15">
        <v>79.14</v>
      </c>
      <c r="BW1345" s="15">
        <v>8.0</v>
      </c>
      <c r="BX1345" s="15">
        <v>15.75</v>
      </c>
      <c r="BY1345" s="15">
        <v>34.9</v>
      </c>
      <c r="BZ1345" s="15">
        <v>69.51</v>
      </c>
      <c r="CA1345" s="15">
        <v>10.0</v>
      </c>
      <c r="CB1345" s="15">
        <v>20.0</v>
      </c>
      <c r="CC1345" s="15">
        <v>5.0</v>
      </c>
      <c r="CD1345" s="15">
        <v>27.9</v>
      </c>
      <c r="CE1345" s="15">
        <v>5.0</v>
      </c>
      <c r="CF1345" s="15">
        <v>20.0</v>
      </c>
      <c r="CG1345" s="15">
        <v>10.0</v>
      </c>
      <c r="CH1345" s="15">
        <v>30.0</v>
      </c>
      <c r="CI1345" s="15">
        <v>129.96</v>
      </c>
      <c r="CJ1345" s="15">
        <v>21.48</v>
      </c>
      <c r="CK1345" s="15">
        <v>42.9</v>
      </c>
      <c r="CL1345" s="15">
        <v>16.76</v>
      </c>
      <c r="CM1345" s="15">
        <v>84.59</v>
      </c>
      <c r="CN1345" s="15">
        <v>50.0</v>
      </c>
      <c r="CO1345" s="15">
        <v>4.0</v>
      </c>
      <c r="CP1345" s="15">
        <v>13.75</v>
      </c>
      <c r="CQ1345" s="15">
        <v>64.8</v>
      </c>
      <c r="CR1345" s="15">
        <v>39.9</v>
      </c>
    </row>
    <row r="1346" ht="15.75" customHeight="1">
      <c r="A1346" s="2" t="s">
        <v>237</v>
      </c>
      <c r="B1346" s="15">
        <v>49.5</v>
      </c>
      <c r="C1346" s="15">
        <v>61.47</v>
      </c>
      <c r="D1346" s="15">
        <v>333.16</v>
      </c>
      <c r="E1346" s="15">
        <v>103.86</v>
      </c>
      <c r="F1346" s="15">
        <v>124.59</v>
      </c>
      <c r="G1346" s="15">
        <v>142.63</v>
      </c>
      <c r="H1346" s="15">
        <v>15.0</v>
      </c>
      <c r="I1346" s="15">
        <v>15.0</v>
      </c>
      <c r="J1346" s="15">
        <v>20.0</v>
      </c>
      <c r="K1346" s="15">
        <v>44.0</v>
      </c>
      <c r="L1346" s="15">
        <v>42.0</v>
      </c>
      <c r="M1346" s="15">
        <v>26.0</v>
      </c>
      <c r="N1346" s="15">
        <v>33.0</v>
      </c>
      <c r="O1346" s="15">
        <v>15.0</v>
      </c>
      <c r="P1346" s="15">
        <v>35.0</v>
      </c>
      <c r="Q1346" s="15">
        <v>37.0</v>
      </c>
      <c r="R1346" s="15">
        <v>48.0</v>
      </c>
      <c r="S1346" s="15">
        <v>191.0</v>
      </c>
      <c r="T1346" s="15">
        <v>295.0</v>
      </c>
      <c r="U1346" s="15">
        <v>82.65</v>
      </c>
      <c r="V1346" s="15">
        <v>227.77</v>
      </c>
      <c r="W1346" s="15">
        <v>50.0</v>
      </c>
      <c r="X1346" s="15">
        <v>100.0</v>
      </c>
      <c r="Y1346" s="15">
        <v>22.0</v>
      </c>
      <c r="Z1346" s="15">
        <v>162.33</v>
      </c>
      <c r="AA1346" s="15">
        <v>9.0</v>
      </c>
      <c r="AB1346" s="15">
        <v>44.7</v>
      </c>
      <c r="AC1346" s="15">
        <v>8.3</v>
      </c>
      <c r="AD1346" s="15">
        <v>80.0</v>
      </c>
      <c r="AS1346" s="16"/>
      <c r="AT1346" s="16"/>
      <c r="AU1346" s="16"/>
      <c r="AV1346" s="16"/>
      <c r="AW1346" s="16"/>
      <c r="AX1346" s="16"/>
      <c r="AY1346" s="16"/>
      <c r="AZ1346" s="16"/>
      <c r="BA1346" s="16"/>
    </row>
    <row r="1347" ht="15.75" customHeight="1">
      <c r="A1347" s="19" t="s">
        <v>254</v>
      </c>
      <c r="B1347" s="15">
        <v>1660.0</v>
      </c>
      <c r="C1347" s="32"/>
      <c r="D1347" s="32"/>
    </row>
    <row r="1348" ht="15.75" customHeight="1">
      <c r="A1348" s="2" t="s">
        <v>212</v>
      </c>
      <c r="B1348" s="15">
        <v>53.0</v>
      </c>
    </row>
    <row r="1349" ht="15.75" customHeight="1">
      <c r="A1349" s="2" t="s">
        <v>108</v>
      </c>
      <c r="B1349" s="15">
        <v>100.0</v>
      </c>
    </row>
    <row r="1350" ht="15.75" customHeight="1">
      <c r="A1350" s="2" t="s">
        <v>88</v>
      </c>
      <c r="B1350" s="15">
        <v>414.34</v>
      </c>
    </row>
    <row r="1351" ht="15.75" customHeight="1">
      <c r="A1351" s="2" t="s">
        <v>109</v>
      </c>
      <c r="B1351" s="15">
        <v>113.81</v>
      </c>
    </row>
    <row r="1352" ht="15.75" customHeight="1">
      <c r="A1352" s="2" t="s">
        <v>83</v>
      </c>
      <c r="B1352" s="15">
        <v>45.91</v>
      </c>
    </row>
    <row r="1353" ht="15.75" customHeight="1">
      <c r="A1353" s="19" t="s">
        <v>252</v>
      </c>
      <c r="B1353" s="15">
        <v>207.83</v>
      </c>
    </row>
    <row r="1354" ht="15.75" customHeight="1">
      <c r="A1354" s="2" t="s">
        <v>1</v>
      </c>
      <c r="B1354" s="2">
        <f>SUM(B1345:BQ1353)</f>
        <v>11133.57</v>
      </c>
    </row>
    <row r="1355" ht="15.75" customHeight="1"/>
    <row r="1356" ht="15.75" customHeight="1">
      <c r="A1356" s="13">
        <v>45474.0</v>
      </c>
      <c r="CX1356" s="52"/>
      <c r="CY1356" s="52"/>
      <c r="CZ1356" s="52"/>
      <c r="DA1356" s="52"/>
      <c r="DB1356" s="52"/>
      <c r="DC1356" s="52"/>
      <c r="DD1356" s="52"/>
      <c r="DE1356" s="52"/>
      <c r="DF1356" s="52"/>
      <c r="DG1356" s="52"/>
    </row>
    <row r="1357" ht="15.75" customHeight="1">
      <c r="A1357" s="2" t="s">
        <v>249</v>
      </c>
      <c r="B1357" s="15">
        <v>84.61</v>
      </c>
      <c r="C1357" s="15">
        <v>298.85</v>
      </c>
      <c r="D1357" s="15">
        <v>75.99</v>
      </c>
      <c r="E1357" s="15">
        <v>857.6</v>
      </c>
      <c r="F1357" s="15">
        <v>44.46</v>
      </c>
      <c r="G1357" s="15">
        <v>76.66</v>
      </c>
      <c r="H1357" s="15">
        <v>140.8</v>
      </c>
      <c r="I1357" s="15">
        <v>69.9</v>
      </c>
      <c r="J1357" s="15">
        <v>123.24</v>
      </c>
      <c r="K1357" s="15">
        <v>111.2</v>
      </c>
      <c r="L1357" s="15">
        <v>70.9</v>
      </c>
      <c r="M1357" s="15">
        <v>106.17</v>
      </c>
      <c r="N1357" s="15">
        <v>33.21</v>
      </c>
      <c r="O1357" s="15">
        <v>44.9</v>
      </c>
      <c r="P1357" s="15">
        <v>57.0</v>
      </c>
      <c r="Q1357" s="15">
        <v>39.91</v>
      </c>
      <c r="R1357" s="15">
        <v>19.9</v>
      </c>
      <c r="S1357" s="15">
        <v>19.92</v>
      </c>
      <c r="T1357" s="15">
        <v>245.0</v>
      </c>
      <c r="U1357" s="15">
        <v>99.9</v>
      </c>
      <c r="V1357" s="15">
        <v>35.5</v>
      </c>
      <c r="W1357" s="15">
        <v>135.84</v>
      </c>
      <c r="X1357" s="15">
        <v>610.0</v>
      </c>
      <c r="Y1357" s="15">
        <v>238.7</v>
      </c>
      <c r="Z1357" s="15">
        <v>91.0</v>
      </c>
      <c r="AA1357" s="15">
        <v>207.5</v>
      </c>
      <c r="AB1357" s="15">
        <v>19.9</v>
      </c>
      <c r="AC1357" s="15">
        <v>20.3</v>
      </c>
      <c r="AD1357" s="15">
        <v>54.99</v>
      </c>
      <c r="AE1357" s="15">
        <v>117.45</v>
      </c>
      <c r="AF1357" s="15">
        <v>98.08</v>
      </c>
      <c r="AG1357" s="15">
        <v>65.4</v>
      </c>
      <c r="AH1357" s="15">
        <v>36.0</v>
      </c>
      <c r="AI1357" s="15">
        <v>288.45</v>
      </c>
      <c r="AJ1357" s="15">
        <v>65.0</v>
      </c>
      <c r="AK1357" s="15">
        <v>14.9</v>
      </c>
      <c r="AL1357" s="15">
        <v>19.96</v>
      </c>
      <c r="AM1357" s="15">
        <v>4.5</v>
      </c>
      <c r="AN1357" s="15">
        <v>20.04</v>
      </c>
      <c r="AO1357" s="15">
        <v>790.0</v>
      </c>
      <c r="AP1357" s="15">
        <v>74.55</v>
      </c>
      <c r="AQ1357" s="15">
        <v>100.0</v>
      </c>
      <c r="AR1357" s="15">
        <v>160.0</v>
      </c>
      <c r="AS1357" s="15">
        <v>19.0</v>
      </c>
      <c r="AT1357" s="15">
        <v>121.4</v>
      </c>
      <c r="AU1357" s="15">
        <v>69.9</v>
      </c>
      <c r="AV1357" s="15">
        <v>16.96</v>
      </c>
      <c r="AW1357" s="15">
        <v>15.0</v>
      </c>
      <c r="AX1357" s="15">
        <v>40.0</v>
      </c>
      <c r="AY1357" s="15">
        <v>15.0</v>
      </c>
      <c r="AZ1357" s="15">
        <v>16.0</v>
      </c>
      <c r="BA1357" s="15">
        <v>33.0</v>
      </c>
      <c r="BB1357" s="15">
        <v>17.13</v>
      </c>
      <c r="BC1357" s="15">
        <v>26.0</v>
      </c>
      <c r="BD1357" s="15">
        <v>35.0</v>
      </c>
      <c r="BE1357" s="15">
        <v>8.5</v>
      </c>
      <c r="BF1357" s="15">
        <v>17.5</v>
      </c>
      <c r="BG1357" s="15">
        <v>20.0</v>
      </c>
      <c r="BH1357" s="15">
        <v>100.0</v>
      </c>
      <c r="BI1357" s="15">
        <v>70.0</v>
      </c>
      <c r="BJ1357" s="15">
        <v>14.18</v>
      </c>
      <c r="BK1357" s="15">
        <v>11.17</v>
      </c>
      <c r="BL1357" s="15">
        <v>3.0</v>
      </c>
      <c r="BM1357" s="15">
        <v>19.9</v>
      </c>
      <c r="BN1357" s="15">
        <v>44.0</v>
      </c>
      <c r="BO1357" s="15">
        <v>10.0</v>
      </c>
      <c r="BP1357" s="15">
        <v>559.96</v>
      </c>
      <c r="BQ1357" s="15">
        <v>335.73</v>
      </c>
      <c r="BR1357" s="15">
        <v>93.22</v>
      </c>
      <c r="BS1357" s="15">
        <v>50.39</v>
      </c>
      <c r="BT1357" s="15">
        <v>30.82</v>
      </c>
      <c r="BU1357" s="15">
        <v>56.0</v>
      </c>
      <c r="BV1357" s="15">
        <v>79.0</v>
      </c>
      <c r="BW1357" s="15">
        <v>38.0</v>
      </c>
      <c r="BX1357" s="15">
        <v>30.0</v>
      </c>
      <c r="BY1357" s="15">
        <v>92.01</v>
      </c>
      <c r="BZ1357" s="15">
        <v>119.0</v>
      </c>
      <c r="CA1357" s="15">
        <v>5.0</v>
      </c>
      <c r="CB1357" s="15">
        <v>5.0</v>
      </c>
      <c r="CC1357" s="15">
        <v>120.0</v>
      </c>
      <c r="CD1357" s="15">
        <v>16.79</v>
      </c>
      <c r="CE1357" s="15">
        <v>50.0</v>
      </c>
      <c r="CF1357" s="15">
        <v>44.0</v>
      </c>
      <c r="CG1357" s="15">
        <v>110.0</v>
      </c>
      <c r="CH1357" s="15">
        <v>69.0</v>
      </c>
      <c r="CI1357" s="15">
        <v>20.0</v>
      </c>
      <c r="CJ1357" s="15">
        <v>15.0</v>
      </c>
      <c r="CK1357" s="15">
        <v>20.0</v>
      </c>
      <c r="CL1357" s="15">
        <v>20.0</v>
      </c>
      <c r="CM1357" s="15">
        <v>15.0</v>
      </c>
      <c r="CN1357" s="15">
        <v>15.0</v>
      </c>
      <c r="CO1357" s="15">
        <v>20.0</v>
      </c>
      <c r="CP1357" s="15">
        <v>20.0</v>
      </c>
      <c r="CQ1357" s="15">
        <v>33.0</v>
      </c>
      <c r="CR1357" s="15">
        <v>18.0</v>
      </c>
      <c r="CS1357" s="15">
        <v>18.0</v>
      </c>
      <c r="CT1357" s="15">
        <v>13.0</v>
      </c>
      <c r="CU1357" s="15">
        <v>30.0</v>
      </c>
      <c r="CV1357" s="15">
        <v>53.0</v>
      </c>
      <c r="CW1357" s="15">
        <v>24.0</v>
      </c>
      <c r="CX1357" s="15">
        <v>26.0</v>
      </c>
      <c r="CY1357" s="15">
        <v>39.0</v>
      </c>
      <c r="CZ1357" s="15">
        <v>20.0</v>
      </c>
      <c r="DA1357" s="15">
        <v>8.0</v>
      </c>
      <c r="DB1357" s="15">
        <v>317.9</v>
      </c>
      <c r="DC1357" s="15">
        <v>19.99</v>
      </c>
      <c r="DD1357" s="15">
        <v>10.74</v>
      </c>
      <c r="DE1357" s="15">
        <v>49.14</v>
      </c>
      <c r="DF1357" s="15">
        <v>27.0</v>
      </c>
      <c r="DG1357" s="15">
        <v>178.0</v>
      </c>
      <c r="DH1357" s="15">
        <v>85.0</v>
      </c>
      <c r="DI1357" s="15"/>
    </row>
    <row r="1358" ht="15.75" customHeight="1">
      <c r="A1358" s="2" t="s">
        <v>237</v>
      </c>
      <c r="B1358" s="15">
        <v>61.47</v>
      </c>
      <c r="C1358" s="15">
        <v>124.59</v>
      </c>
      <c r="D1358" s="15">
        <v>162.33</v>
      </c>
      <c r="E1358" s="15">
        <v>49.5</v>
      </c>
      <c r="F1358" s="15">
        <v>333.16</v>
      </c>
      <c r="G1358" s="15">
        <v>153.64</v>
      </c>
      <c r="H1358" s="15">
        <v>41.21</v>
      </c>
      <c r="I1358" s="15">
        <v>11.0</v>
      </c>
      <c r="J1358" s="15">
        <v>167.0</v>
      </c>
      <c r="K1358" s="15">
        <v>163.73</v>
      </c>
      <c r="L1358" s="15">
        <v>9.0</v>
      </c>
      <c r="M1358" s="15">
        <v>181.38</v>
      </c>
      <c r="N1358" s="15">
        <v>74.0</v>
      </c>
      <c r="O1358" s="15">
        <v>154.0</v>
      </c>
      <c r="P1358" s="15">
        <v>143.71</v>
      </c>
      <c r="Q1358" s="15">
        <v>200.0</v>
      </c>
      <c r="R1358" s="15">
        <v>67.0</v>
      </c>
    </row>
    <row r="1359" ht="15.75" customHeight="1">
      <c r="A1359" s="19" t="s">
        <v>254</v>
      </c>
      <c r="B1359" s="15">
        <v>1660.0</v>
      </c>
      <c r="C1359" s="32"/>
      <c r="D1359" s="32"/>
    </row>
    <row r="1360" ht="15.75" customHeight="1">
      <c r="A1360" s="2" t="s">
        <v>212</v>
      </c>
      <c r="B1360" s="15">
        <v>53.0</v>
      </c>
      <c r="D1360" s="19" t="s">
        <v>51</v>
      </c>
      <c r="E1360" s="15">
        <v>100.0</v>
      </c>
    </row>
    <row r="1361" ht="15.75" customHeight="1">
      <c r="A1361" s="2" t="s">
        <v>108</v>
      </c>
      <c r="B1361" s="15">
        <v>200.0</v>
      </c>
      <c r="C1361" s="15">
        <v>4200.0</v>
      </c>
    </row>
    <row r="1362" ht="15.75" customHeight="1">
      <c r="A1362" s="2" t="s">
        <v>88</v>
      </c>
      <c r="B1362" s="15">
        <v>337.07</v>
      </c>
    </row>
    <row r="1363" ht="15.75" customHeight="1">
      <c r="A1363" s="2" t="s">
        <v>109</v>
      </c>
      <c r="B1363" s="15">
        <v>113.81</v>
      </c>
    </row>
    <row r="1364" ht="15.75" customHeight="1">
      <c r="A1364" s="2" t="s">
        <v>83</v>
      </c>
      <c r="B1364" s="15">
        <v>45.91</v>
      </c>
    </row>
    <row r="1365" ht="15.75" customHeight="1">
      <c r="A1365" s="19" t="s">
        <v>252</v>
      </c>
      <c r="B1365" s="15">
        <v>207.83</v>
      </c>
    </row>
    <row r="1366" ht="15.75" customHeight="1">
      <c r="A1366" s="2" t="s">
        <v>1</v>
      </c>
      <c r="B1366" s="2">
        <f>SUM(B1357:CC1365)</f>
        <v>17259.29</v>
      </c>
    </row>
    <row r="1367" ht="15.75" customHeight="1"/>
    <row r="1368" ht="15.75" customHeight="1">
      <c r="A1368" s="13">
        <v>45505.0</v>
      </c>
      <c r="Z1368" s="15" t="s">
        <v>255</v>
      </c>
      <c r="AR1368" s="19" t="s">
        <v>51</v>
      </c>
    </row>
    <row r="1369" ht="15.75" customHeight="1">
      <c r="A1369" s="2" t="s">
        <v>249</v>
      </c>
      <c r="B1369" s="15">
        <v>84.61</v>
      </c>
      <c r="C1369" s="15">
        <v>298.85</v>
      </c>
      <c r="D1369" s="15">
        <v>75.99</v>
      </c>
      <c r="E1369" s="15">
        <v>857.6</v>
      </c>
      <c r="F1369" s="15">
        <v>76.66</v>
      </c>
      <c r="G1369" s="15">
        <v>111.2</v>
      </c>
      <c r="H1369" s="15">
        <v>70.9</v>
      </c>
      <c r="I1369" s="15">
        <v>106.17</v>
      </c>
      <c r="J1369" s="15">
        <v>33.21</v>
      </c>
      <c r="K1369" s="15">
        <v>245.0</v>
      </c>
      <c r="L1369" s="15">
        <v>207.5</v>
      </c>
      <c r="M1369" s="15">
        <v>54.98</v>
      </c>
      <c r="N1369" s="15">
        <v>117.45</v>
      </c>
      <c r="O1369" s="15">
        <v>98.08</v>
      </c>
      <c r="P1369" s="15">
        <v>74.56</v>
      </c>
      <c r="Q1369" s="15">
        <v>121.4</v>
      </c>
      <c r="R1369" s="15">
        <v>69.9</v>
      </c>
      <c r="S1369" s="15">
        <v>559.96</v>
      </c>
      <c r="T1369" s="15">
        <v>503.0</v>
      </c>
      <c r="U1369" s="15">
        <v>82.35</v>
      </c>
      <c r="V1369" s="15">
        <v>34.9</v>
      </c>
      <c r="W1369" s="15">
        <v>135.26</v>
      </c>
      <c r="X1369" s="15">
        <v>105.78</v>
      </c>
      <c r="Y1369" s="15">
        <v>91.95</v>
      </c>
      <c r="Z1369" s="15">
        <v>111.69</v>
      </c>
      <c r="AA1369" s="15">
        <v>27.9</v>
      </c>
      <c r="AB1369" s="15">
        <v>81.8</v>
      </c>
      <c r="AC1369" s="15">
        <v>48.88</v>
      </c>
      <c r="AD1369" s="15">
        <v>27.14</v>
      </c>
      <c r="AE1369" s="15">
        <v>215.72</v>
      </c>
      <c r="AF1369" s="15">
        <v>312.0</v>
      </c>
      <c r="AG1369" s="15">
        <v>174.0</v>
      </c>
      <c r="AH1369" s="15">
        <v>24.0</v>
      </c>
      <c r="AI1369" s="15">
        <v>146.55</v>
      </c>
      <c r="AJ1369" s="15">
        <v>50.0</v>
      </c>
      <c r="AK1369" s="15">
        <v>13.9</v>
      </c>
      <c r="AL1369" s="15">
        <v>160.0</v>
      </c>
      <c r="AM1369" s="15">
        <v>44.9</v>
      </c>
      <c r="AN1369" s="15">
        <v>14.92</v>
      </c>
      <c r="AO1369" s="15">
        <v>32.5</v>
      </c>
      <c r="AP1369" s="15">
        <v>108.39</v>
      </c>
      <c r="AQ1369" s="15">
        <v>590.0</v>
      </c>
      <c r="AR1369" s="15">
        <v>166.14</v>
      </c>
      <c r="AS1369" s="15">
        <v>6.9</v>
      </c>
      <c r="AT1369" s="15">
        <v>320.0</v>
      </c>
      <c r="AU1369" s="15">
        <v>75.0</v>
      </c>
      <c r="AV1369" s="15">
        <v>77.0</v>
      </c>
      <c r="AW1369" s="15">
        <v>30.0</v>
      </c>
      <c r="AX1369" s="15">
        <v>14.29</v>
      </c>
      <c r="AY1369" s="15">
        <v>34.9</v>
      </c>
      <c r="AZ1369" s="15">
        <v>242.5</v>
      </c>
      <c r="BA1369" s="15">
        <v>166.82</v>
      </c>
      <c r="BB1369" s="15">
        <v>28.4</v>
      </c>
      <c r="BC1369" s="15">
        <v>148.05</v>
      </c>
      <c r="BD1369" s="15">
        <v>51.0</v>
      </c>
      <c r="BE1369" s="15">
        <v>62.2</v>
      </c>
      <c r="BF1369" s="15">
        <v>145.0</v>
      </c>
      <c r="BG1369" s="15">
        <v>71.5</v>
      </c>
      <c r="BH1369" s="15">
        <v>19.98</v>
      </c>
      <c r="BI1369" s="15">
        <v>123.74</v>
      </c>
      <c r="BJ1369" s="15">
        <v>57.17</v>
      </c>
      <c r="BK1369" s="15">
        <v>19.9</v>
      </c>
      <c r="BL1369" s="15">
        <v>200.0</v>
      </c>
      <c r="BM1369" s="15">
        <v>100.0</v>
      </c>
      <c r="BN1369" s="15">
        <v>38.85</v>
      </c>
      <c r="BO1369" s="15">
        <v>47.88</v>
      </c>
      <c r="BP1369" s="15">
        <v>30.02</v>
      </c>
      <c r="BQ1369" s="15">
        <v>22.0</v>
      </c>
      <c r="BR1369" s="15">
        <v>170.39</v>
      </c>
      <c r="BS1369" s="15">
        <v>20.0</v>
      </c>
      <c r="BT1369" s="15">
        <v>53.0</v>
      </c>
      <c r="BU1369" s="15">
        <v>63.42</v>
      </c>
      <c r="BV1369" s="15">
        <v>26.16</v>
      </c>
      <c r="BW1369" s="15">
        <v>90.71</v>
      </c>
      <c r="BX1369" s="15">
        <v>127.0</v>
      </c>
      <c r="BY1369" s="15">
        <v>56.86</v>
      </c>
      <c r="BZ1369" s="15">
        <v>52.0</v>
      </c>
      <c r="CA1369" s="15">
        <v>79.07</v>
      </c>
      <c r="CB1369" s="15">
        <v>115.0</v>
      </c>
      <c r="CC1369" s="15">
        <v>65.8</v>
      </c>
      <c r="CD1369" s="15">
        <v>325.04</v>
      </c>
      <c r="CE1369" s="15">
        <v>84.0</v>
      </c>
      <c r="CF1369" s="15">
        <v>15.0</v>
      </c>
      <c r="CG1369" s="15">
        <v>15.0</v>
      </c>
      <c r="CH1369" s="15">
        <v>20.0</v>
      </c>
      <c r="CI1369" s="15">
        <v>71.0</v>
      </c>
      <c r="CJ1369" s="15">
        <v>27.9</v>
      </c>
      <c r="CK1369" s="15">
        <v>100.0</v>
      </c>
    </row>
    <row r="1370" ht="15.75" customHeight="1">
      <c r="A1370" s="2" t="s">
        <v>237</v>
      </c>
      <c r="B1370" s="15">
        <v>61.47</v>
      </c>
      <c r="C1370" s="15">
        <v>162.33</v>
      </c>
      <c r="D1370" s="15">
        <v>140.52</v>
      </c>
      <c r="E1370" s="15">
        <v>39.3</v>
      </c>
      <c r="F1370" s="15">
        <v>65.8</v>
      </c>
      <c r="G1370" s="15">
        <v>65.0</v>
      </c>
      <c r="H1370" s="15">
        <v>58.42</v>
      </c>
      <c r="I1370" s="15">
        <v>4.69</v>
      </c>
      <c r="J1370" s="15">
        <v>169.4</v>
      </c>
      <c r="K1370" s="15">
        <v>74.5</v>
      </c>
      <c r="L1370" s="15">
        <v>102.3</v>
      </c>
      <c r="M1370" s="15">
        <v>62.7</v>
      </c>
      <c r="N1370" s="15">
        <v>102.85</v>
      </c>
      <c r="O1370" s="15">
        <v>146.9</v>
      </c>
      <c r="P1370" s="15">
        <v>75.9</v>
      </c>
      <c r="Q1370" s="15">
        <v>20.0</v>
      </c>
      <c r="R1370" s="15">
        <v>16.0</v>
      </c>
      <c r="S1370" s="15">
        <v>22.0</v>
      </c>
      <c r="T1370" s="15">
        <v>51.0</v>
      </c>
      <c r="U1370" s="15">
        <v>35.0</v>
      </c>
      <c r="V1370" s="15">
        <v>16.0</v>
      </c>
      <c r="W1370" s="15">
        <v>50.0</v>
      </c>
      <c r="X1370" s="15">
        <v>6.0</v>
      </c>
      <c r="Y1370" s="15">
        <v>51.0</v>
      </c>
      <c r="Z1370" s="15">
        <v>32.0</v>
      </c>
      <c r="AA1370" s="15">
        <v>38.0</v>
      </c>
      <c r="AB1370" s="15">
        <v>150.0</v>
      </c>
    </row>
    <row r="1371" ht="15.75" customHeight="1">
      <c r="A1371" s="19" t="s">
        <v>254</v>
      </c>
      <c r="B1371" s="15">
        <v>1660.0</v>
      </c>
      <c r="C1371" s="32"/>
    </row>
    <row r="1372" ht="15.75" customHeight="1">
      <c r="A1372" s="2" t="s">
        <v>212</v>
      </c>
      <c r="B1372" s="15">
        <v>57.0</v>
      </c>
    </row>
    <row r="1373" ht="15.75" customHeight="1">
      <c r="A1373" s="2" t="s">
        <v>108</v>
      </c>
      <c r="B1373" s="15">
        <v>100.0</v>
      </c>
      <c r="C1373" s="15">
        <v>2300.0</v>
      </c>
    </row>
    <row r="1374" ht="15.75" customHeight="1">
      <c r="A1374" s="2" t="s">
        <v>88</v>
      </c>
      <c r="B1374" s="15">
        <v>340.97</v>
      </c>
    </row>
    <row r="1375" ht="15.75" customHeight="1">
      <c r="A1375" s="2" t="s">
        <v>109</v>
      </c>
      <c r="B1375" s="15">
        <v>113.81</v>
      </c>
    </row>
    <row r="1376" ht="15.75" customHeight="1">
      <c r="A1376" s="2" t="s">
        <v>83</v>
      </c>
      <c r="B1376" s="15">
        <v>45.91</v>
      </c>
    </row>
    <row r="1377" ht="15.75" customHeight="1">
      <c r="A1377" s="19" t="s">
        <v>252</v>
      </c>
      <c r="B1377" s="15">
        <v>207.83</v>
      </c>
    </row>
    <row r="1378" ht="15.75" customHeight="1">
      <c r="A1378" s="2" t="s">
        <v>1</v>
      </c>
      <c r="B1378" s="2">
        <f>SUM(B1368:DH1377)</f>
        <v>16922.74</v>
      </c>
    </row>
    <row r="1379" ht="15.75" customHeight="1"/>
    <row r="1380" ht="15.75" customHeight="1">
      <c r="A1380" s="13">
        <v>45536.0</v>
      </c>
      <c r="O1380" s="19" t="s">
        <v>255</v>
      </c>
      <c r="P1380" s="19" t="s">
        <v>51</v>
      </c>
    </row>
    <row r="1381" ht="15.75" customHeight="1">
      <c r="A1381" s="2" t="s">
        <v>249</v>
      </c>
      <c r="B1381" s="15">
        <v>84.61</v>
      </c>
      <c r="C1381" s="15">
        <v>75.99</v>
      </c>
      <c r="D1381" s="15">
        <v>857.6</v>
      </c>
      <c r="E1381" s="15">
        <v>76.66</v>
      </c>
      <c r="F1381" s="15">
        <v>111.2</v>
      </c>
      <c r="G1381" s="15">
        <v>70.9</v>
      </c>
      <c r="H1381" s="15">
        <v>33.21</v>
      </c>
      <c r="I1381" s="15">
        <v>98.08</v>
      </c>
      <c r="J1381" s="15">
        <v>74.56</v>
      </c>
      <c r="K1381" s="15">
        <v>121.4</v>
      </c>
      <c r="L1381" s="15">
        <v>559.96</v>
      </c>
      <c r="M1381" s="15">
        <v>503.0</v>
      </c>
      <c r="N1381" s="15">
        <v>82.35</v>
      </c>
      <c r="O1381" s="15">
        <v>111.69</v>
      </c>
      <c r="P1381" s="15">
        <v>166.15</v>
      </c>
      <c r="Q1381" s="15">
        <v>242.5</v>
      </c>
      <c r="R1381" s="15">
        <v>62.2</v>
      </c>
      <c r="S1381" s="15">
        <v>145.0</v>
      </c>
      <c r="U1381" s="15">
        <v>4.9</v>
      </c>
      <c r="V1381" s="15">
        <v>55.5</v>
      </c>
      <c r="W1381" s="15">
        <v>133.5</v>
      </c>
      <c r="X1381" s="15">
        <v>30.91</v>
      </c>
      <c r="Y1381" s="15">
        <v>44.49</v>
      </c>
      <c r="Z1381" s="15">
        <v>193.1</v>
      </c>
      <c r="AA1381" s="15">
        <v>277.44</v>
      </c>
      <c r="AB1381" s="15">
        <v>84.7</v>
      </c>
      <c r="AC1381" s="15">
        <v>100.0</v>
      </c>
      <c r="AD1381" s="15">
        <v>27.9</v>
      </c>
      <c r="AE1381" s="15">
        <v>58.67</v>
      </c>
      <c r="AF1381" s="15">
        <v>115.0</v>
      </c>
      <c r="AG1381" s="15">
        <v>44.9</v>
      </c>
      <c r="AH1381" s="15">
        <v>392.15</v>
      </c>
      <c r="AI1381" s="15">
        <v>143.86</v>
      </c>
      <c r="AJ1381" s="15">
        <v>107.14</v>
      </c>
      <c r="AK1381" s="15">
        <v>227.66</v>
      </c>
      <c r="AL1381" s="15">
        <v>1.74</v>
      </c>
      <c r="AM1381" s="15">
        <v>30.55</v>
      </c>
      <c r="AN1381" s="15">
        <v>28.34</v>
      </c>
      <c r="AO1381" s="15">
        <v>54.9</v>
      </c>
      <c r="AP1381" s="15">
        <v>65.06</v>
      </c>
      <c r="AQ1381" s="15">
        <v>29.0</v>
      </c>
      <c r="AR1381" s="15">
        <v>45.21</v>
      </c>
      <c r="AS1381" s="15">
        <v>78.44</v>
      </c>
      <c r="AT1381" s="15">
        <v>82.39</v>
      </c>
      <c r="AU1381" s="15">
        <v>100.0</v>
      </c>
      <c r="AV1381" s="15">
        <v>34.8</v>
      </c>
      <c r="AW1381" s="15">
        <v>20.0</v>
      </c>
      <c r="AX1381" s="15">
        <v>35.0</v>
      </c>
      <c r="AY1381" s="15">
        <v>48.88</v>
      </c>
      <c r="AZ1381" s="15">
        <v>590.0</v>
      </c>
      <c r="BA1381" s="15">
        <v>62.19</v>
      </c>
      <c r="BB1381" s="15">
        <v>95.27</v>
      </c>
      <c r="BC1381" s="15">
        <v>13.92</v>
      </c>
      <c r="BD1381" s="15">
        <v>34.9</v>
      </c>
      <c r="BE1381" s="15">
        <v>167.99</v>
      </c>
      <c r="BF1381" s="15">
        <v>83.98</v>
      </c>
      <c r="BG1381" s="15">
        <v>30.0</v>
      </c>
      <c r="BH1381" s="15">
        <v>27.3</v>
      </c>
      <c r="BI1381" s="15">
        <v>200.0</v>
      </c>
      <c r="BJ1381" s="15">
        <v>146.04</v>
      </c>
      <c r="BK1381" s="15">
        <v>80.0</v>
      </c>
      <c r="BL1381" s="15">
        <v>15.9</v>
      </c>
      <c r="BM1381" s="15">
        <v>19.9</v>
      </c>
      <c r="BN1381" s="15">
        <v>100.0</v>
      </c>
      <c r="BO1381" s="15">
        <v>94.0</v>
      </c>
      <c r="BP1381" s="15">
        <v>9.38</v>
      </c>
      <c r="BQ1381" s="15">
        <v>20.0</v>
      </c>
      <c r="BR1381" s="15">
        <v>150.0</v>
      </c>
      <c r="BS1381" s="15">
        <v>77.84</v>
      </c>
      <c r="BT1381" s="15">
        <v>96.2</v>
      </c>
      <c r="BU1381" s="15">
        <v>48.0</v>
      </c>
      <c r="BV1381" s="15">
        <v>40.3</v>
      </c>
      <c r="BW1381" s="15">
        <v>15.98</v>
      </c>
      <c r="BX1381" s="15">
        <v>177.68</v>
      </c>
      <c r="BY1381" s="15">
        <v>94.6</v>
      </c>
      <c r="BZ1381" s="15">
        <v>20.0</v>
      </c>
      <c r="CA1381" s="15">
        <v>20.0</v>
      </c>
      <c r="CB1381" s="15">
        <v>159.28</v>
      </c>
      <c r="CC1381" s="15">
        <v>112.0</v>
      </c>
      <c r="CD1381" s="15">
        <v>33.13</v>
      </c>
      <c r="CE1381" s="15">
        <v>63.5</v>
      </c>
      <c r="CF1381" s="15">
        <v>13.0</v>
      </c>
      <c r="CG1381" s="15">
        <v>38.5</v>
      </c>
      <c r="CH1381" s="15">
        <v>129.94</v>
      </c>
      <c r="CI1381" s="15">
        <v>64.0</v>
      </c>
      <c r="CJ1381" s="15">
        <v>48.96</v>
      </c>
      <c r="CK1381" s="15">
        <v>154.0</v>
      </c>
      <c r="CL1381" s="15">
        <v>69.9</v>
      </c>
      <c r="CM1381" s="15">
        <v>46.89</v>
      </c>
      <c r="CN1381" s="15">
        <v>32.0</v>
      </c>
      <c r="CO1381" s="15">
        <v>126.78</v>
      </c>
      <c r="CP1381" s="15">
        <v>129.61</v>
      </c>
      <c r="CQ1381" s="15">
        <v>98.18</v>
      </c>
      <c r="CR1381" s="15">
        <v>61.0</v>
      </c>
      <c r="CS1381" s="15">
        <v>88.0</v>
      </c>
      <c r="CT1381" s="15">
        <v>43.5</v>
      </c>
      <c r="CU1381" s="15">
        <v>31.15</v>
      </c>
      <c r="CV1381" s="15">
        <v>27.8</v>
      </c>
      <c r="CW1381" s="15">
        <v>375.32</v>
      </c>
      <c r="CX1381" s="15">
        <v>47.75</v>
      </c>
    </row>
    <row r="1382" ht="15.75" customHeight="1">
      <c r="A1382" s="2" t="s">
        <v>237</v>
      </c>
      <c r="B1382" s="15">
        <v>61.47</v>
      </c>
      <c r="C1382" s="15">
        <v>140.52</v>
      </c>
      <c r="D1382" s="15">
        <v>75.15</v>
      </c>
      <c r="E1382" s="15">
        <v>13.0</v>
      </c>
      <c r="F1382" s="15">
        <v>159.0</v>
      </c>
      <c r="G1382" s="15">
        <v>64.0</v>
      </c>
      <c r="H1382" s="15">
        <v>18.0</v>
      </c>
      <c r="I1382" s="15">
        <v>33.0</v>
      </c>
      <c r="J1382" s="15">
        <v>33.0</v>
      </c>
      <c r="K1382" s="15">
        <v>42.81</v>
      </c>
      <c r="L1382" s="15">
        <v>19.0</v>
      </c>
      <c r="M1382" s="15">
        <v>38.0</v>
      </c>
      <c r="N1382" s="15">
        <v>13.0</v>
      </c>
      <c r="O1382" s="15">
        <v>34.0</v>
      </c>
      <c r="P1382" s="15">
        <v>500.0</v>
      </c>
      <c r="Q1382" s="15">
        <v>23.0</v>
      </c>
      <c r="R1382" s="15">
        <v>100.0</v>
      </c>
      <c r="S1382" s="15">
        <v>213.5</v>
      </c>
      <c r="T1382" s="15">
        <v>24.05</v>
      </c>
      <c r="U1382" s="15">
        <v>12.9</v>
      </c>
      <c r="V1382" s="15">
        <v>96.58</v>
      </c>
      <c r="W1382" s="15">
        <v>153.75</v>
      </c>
      <c r="X1382" s="15">
        <v>28.25</v>
      </c>
      <c r="Y1382" s="15">
        <v>4.5</v>
      </c>
    </row>
    <row r="1383" ht="15.75" customHeight="1">
      <c r="A1383" s="19" t="s">
        <v>254</v>
      </c>
      <c r="B1383" s="15">
        <v>1660.0</v>
      </c>
      <c r="C1383" s="32"/>
      <c r="D1383" s="19" t="s">
        <v>118</v>
      </c>
      <c r="E1383" s="15">
        <v>149.37</v>
      </c>
    </row>
    <row r="1384" ht="15.75" customHeight="1">
      <c r="A1384" s="2" t="s">
        <v>212</v>
      </c>
      <c r="B1384" s="15">
        <v>57.0</v>
      </c>
    </row>
    <row r="1385" ht="15.75" customHeight="1">
      <c r="A1385" s="2" t="s">
        <v>108</v>
      </c>
      <c r="B1385" s="15">
        <v>4000.0</v>
      </c>
      <c r="C1385" s="15"/>
    </row>
    <row r="1386" ht="15.75" customHeight="1">
      <c r="A1386" s="2" t="s">
        <v>88</v>
      </c>
      <c r="B1386" s="15">
        <v>347.98</v>
      </c>
    </row>
    <row r="1387" ht="15.75" customHeight="1">
      <c r="A1387" s="2" t="s">
        <v>109</v>
      </c>
      <c r="B1387" s="15">
        <v>113.81</v>
      </c>
    </row>
    <row r="1388" ht="15.75" customHeight="1">
      <c r="A1388" s="2" t="s">
        <v>83</v>
      </c>
      <c r="B1388" s="15">
        <v>45.91</v>
      </c>
    </row>
    <row r="1389" ht="15.75" customHeight="1">
      <c r="A1389" s="19" t="s">
        <v>252</v>
      </c>
      <c r="B1389" s="15">
        <v>207.83</v>
      </c>
    </row>
    <row r="1390" ht="15.75" customHeight="1">
      <c r="A1390" s="2" t="s">
        <v>1</v>
      </c>
    </row>
    <row r="1391" ht="15.75" customHeight="1"/>
    <row r="1392" ht="15.75" customHeight="1">
      <c r="A1392" s="13">
        <v>45566.0</v>
      </c>
      <c r="I1392" s="19" t="s">
        <v>255</v>
      </c>
      <c r="J1392" s="19" t="s">
        <v>51</v>
      </c>
    </row>
    <row r="1393" ht="15.75" customHeight="1">
      <c r="A1393" s="2" t="s">
        <v>249</v>
      </c>
      <c r="B1393" s="15">
        <v>75.99</v>
      </c>
      <c r="C1393" s="15">
        <v>857.6</v>
      </c>
      <c r="D1393" s="15">
        <v>111.2</v>
      </c>
      <c r="E1393" s="15">
        <v>70.9</v>
      </c>
      <c r="F1393" s="15">
        <v>33.22</v>
      </c>
      <c r="G1393" s="15">
        <v>559.96</v>
      </c>
      <c r="H1393" s="15">
        <v>82.35</v>
      </c>
      <c r="I1393" s="15">
        <v>111.69</v>
      </c>
      <c r="J1393" s="15">
        <v>166.14</v>
      </c>
      <c r="K1393" s="15">
        <v>242.5</v>
      </c>
      <c r="M1393" s="15">
        <v>30.91</v>
      </c>
      <c r="N1393" s="15">
        <v>44.49</v>
      </c>
      <c r="O1393" s="15">
        <v>392.15</v>
      </c>
      <c r="P1393" s="15">
        <v>143.86</v>
      </c>
      <c r="Q1393" s="15">
        <v>65.06</v>
      </c>
      <c r="R1393" s="15">
        <v>100.0</v>
      </c>
      <c r="S1393" s="15">
        <v>34.8</v>
      </c>
      <c r="T1393" s="15">
        <v>245.97</v>
      </c>
      <c r="U1393" s="15">
        <v>138.4</v>
      </c>
      <c r="V1393" s="15">
        <v>114.6</v>
      </c>
      <c r="W1393" s="15">
        <v>104.55</v>
      </c>
      <c r="X1393" s="15">
        <v>44.0</v>
      </c>
      <c r="Y1393" s="15">
        <v>35.9</v>
      </c>
      <c r="Z1393" s="15">
        <v>100.0</v>
      </c>
      <c r="AA1393" s="15">
        <v>100.0</v>
      </c>
      <c r="AB1393" s="15">
        <v>295.0</v>
      </c>
      <c r="AC1393" s="15">
        <v>4.9</v>
      </c>
      <c r="AD1393" s="15">
        <v>27.9</v>
      </c>
      <c r="AE1393" s="15">
        <v>77.0</v>
      </c>
      <c r="AF1393" s="15">
        <v>130.0</v>
      </c>
      <c r="AG1393" s="15">
        <v>74.2</v>
      </c>
      <c r="AH1393" s="15">
        <v>51.0</v>
      </c>
      <c r="AI1393" s="15">
        <v>560.0</v>
      </c>
      <c r="AJ1393" s="15">
        <v>25.25</v>
      </c>
      <c r="AK1393" s="15">
        <v>44.9</v>
      </c>
      <c r="AL1393" s="15">
        <v>461.12</v>
      </c>
      <c r="AM1393" s="15">
        <v>52.68</v>
      </c>
      <c r="AN1393" s="15">
        <v>235.46</v>
      </c>
      <c r="AO1393" s="15">
        <v>15.91</v>
      </c>
      <c r="AP1393" s="15">
        <v>28.59</v>
      </c>
      <c r="AQ1393" s="15">
        <v>34.0</v>
      </c>
      <c r="AR1393" s="15">
        <v>39.0</v>
      </c>
      <c r="AS1393" s="15">
        <v>13.0</v>
      </c>
      <c r="AT1393" s="15">
        <v>38.0</v>
      </c>
      <c r="AU1393" s="15">
        <v>6.3</v>
      </c>
      <c r="AV1393" s="15">
        <v>25.86</v>
      </c>
      <c r="AW1393" s="15">
        <v>54.0</v>
      </c>
      <c r="AX1393" s="15">
        <v>7.0</v>
      </c>
      <c r="AY1393" s="15">
        <v>10.0</v>
      </c>
      <c r="AZ1393" s="15">
        <v>23.0</v>
      </c>
      <c r="BA1393" s="15">
        <v>216.0</v>
      </c>
      <c r="BB1393" s="15">
        <v>114.0</v>
      </c>
      <c r="BC1393" s="15">
        <v>27.0</v>
      </c>
      <c r="BD1393" s="15">
        <v>27.0</v>
      </c>
      <c r="BE1393" s="15">
        <v>61.06</v>
      </c>
      <c r="BF1393" s="15">
        <v>39.9</v>
      </c>
      <c r="BG1393" s="15">
        <v>561.25</v>
      </c>
      <c r="BH1393" s="15">
        <v>76.0</v>
      </c>
      <c r="BI1393" s="15">
        <v>56.25</v>
      </c>
      <c r="BJ1393" s="15">
        <v>46.67</v>
      </c>
      <c r="BK1393" s="15">
        <v>75.0</v>
      </c>
      <c r="BL1393" s="15">
        <v>238.91</v>
      </c>
      <c r="BM1393" s="15">
        <v>50.0</v>
      </c>
      <c r="BN1393" s="15">
        <v>27.56</v>
      </c>
      <c r="BO1393" s="15">
        <v>5.9</v>
      </c>
      <c r="BP1393" s="15">
        <v>27.98</v>
      </c>
      <c r="BQ1393" s="15">
        <v>600.0</v>
      </c>
      <c r="BR1393" s="15">
        <v>65.0</v>
      </c>
      <c r="BS1393" s="15">
        <v>200.0</v>
      </c>
      <c r="BT1393" s="15">
        <v>19.9</v>
      </c>
      <c r="BU1393" s="15">
        <v>22.0</v>
      </c>
      <c r="BV1393" s="15">
        <v>32.0</v>
      </c>
      <c r="BW1393" s="15">
        <v>13.0</v>
      </c>
      <c r="BX1393" s="15">
        <v>95.27</v>
      </c>
      <c r="BY1393" s="15">
        <v>194.0</v>
      </c>
      <c r="BZ1393" s="15">
        <v>77.7</v>
      </c>
      <c r="CA1393" s="15">
        <v>89.01</v>
      </c>
      <c r="CB1393" s="15">
        <v>285.0</v>
      </c>
      <c r="CC1393" s="15">
        <v>14.0</v>
      </c>
      <c r="CD1393" s="15">
        <v>355.2</v>
      </c>
      <c r="CE1393" s="15">
        <v>74.0</v>
      </c>
      <c r="CF1393" s="15">
        <v>80.0</v>
      </c>
      <c r="CG1393" s="15">
        <v>21.0</v>
      </c>
      <c r="CH1393" s="15">
        <v>19.0</v>
      </c>
      <c r="CI1393" s="15">
        <v>18.0</v>
      </c>
      <c r="CJ1393" s="15">
        <v>48.0</v>
      </c>
      <c r="CK1393" s="15">
        <v>47.0</v>
      </c>
      <c r="CL1393" s="15">
        <v>32.0</v>
      </c>
      <c r="CM1393" s="15">
        <v>22.0</v>
      </c>
      <c r="CN1393" s="15">
        <v>21.0</v>
      </c>
      <c r="CO1393" s="15">
        <v>35.9</v>
      </c>
      <c r="CP1393" s="15">
        <v>45.9</v>
      </c>
      <c r="CQ1393" s="15">
        <v>82.02</v>
      </c>
      <c r="CR1393" s="15">
        <v>19.7</v>
      </c>
      <c r="CS1393" s="15">
        <v>10.99</v>
      </c>
      <c r="CT1393" s="15">
        <v>225.0</v>
      </c>
      <c r="CU1393" s="15">
        <v>45.0</v>
      </c>
      <c r="CV1393" s="15">
        <v>33.2</v>
      </c>
      <c r="CW1393" s="15">
        <v>91.9</v>
      </c>
      <c r="CX1393" s="15">
        <v>161.0</v>
      </c>
      <c r="CY1393" s="15">
        <v>6.0</v>
      </c>
      <c r="CZ1393" s="15">
        <v>99.88</v>
      </c>
      <c r="DA1393" s="15">
        <v>34.98</v>
      </c>
    </row>
    <row r="1394" ht="15.75" customHeight="1">
      <c r="A1394" s="2" t="s">
        <v>237</v>
      </c>
      <c r="B1394" s="15">
        <v>61.47</v>
      </c>
      <c r="C1394" s="15">
        <v>96.58</v>
      </c>
      <c r="D1394" s="15">
        <v>197.07</v>
      </c>
      <c r="E1394" s="15">
        <v>140.89</v>
      </c>
      <c r="F1394" s="15">
        <v>63.33</v>
      </c>
      <c r="G1394" s="15">
        <v>80.56</v>
      </c>
      <c r="H1394" s="15">
        <v>55.16</v>
      </c>
      <c r="I1394" s="15">
        <v>46.27</v>
      </c>
      <c r="J1394" s="15">
        <v>51.21</v>
      </c>
      <c r="K1394" s="15">
        <v>53.0</v>
      </c>
      <c r="L1394" s="15">
        <v>215.88</v>
      </c>
    </row>
    <row r="1395" ht="15.75" customHeight="1">
      <c r="A1395" s="19" t="s">
        <v>254</v>
      </c>
      <c r="B1395" s="15">
        <v>1660.0</v>
      </c>
    </row>
    <row r="1396" ht="15.75" customHeight="1">
      <c r="A1396" s="2" t="s">
        <v>212</v>
      </c>
      <c r="B1396" s="15">
        <v>57.0</v>
      </c>
    </row>
    <row r="1397" ht="15.75" customHeight="1">
      <c r="A1397" s="2" t="s">
        <v>108</v>
      </c>
      <c r="B1397" s="15">
        <v>2600.0</v>
      </c>
      <c r="C1397" s="15"/>
    </row>
    <row r="1398" ht="15.75" customHeight="1">
      <c r="A1398" s="2" t="s">
        <v>88</v>
      </c>
      <c r="B1398" s="15">
        <v>79.83</v>
      </c>
    </row>
    <row r="1399" ht="15.75" customHeight="1">
      <c r="A1399" s="2" t="s">
        <v>109</v>
      </c>
      <c r="B1399" s="15">
        <v>113.81</v>
      </c>
    </row>
    <row r="1400" ht="15.75" customHeight="1">
      <c r="A1400" s="2" t="s">
        <v>83</v>
      </c>
      <c r="B1400" s="15">
        <v>45.91</v>
      </c>
    </row>
    <row r="1401" ht="15.75" customHeight="1">
      <c r="A1401" s="19" t="s">
        <v>252</v>
      </c>
      <c r="B1401" s="15">
        <v>207.83</v>
      </c>
    </row>
    <row r="1402" ht="15.75" customHeight="1">
      <c r="A1402" s="2" t="s">
        <v>1</v>
      </c>
    </row>
    <row r="1403" ht="15.75" customHeight="1"/>
    <row r="1404" ht="15.75" customHeight="1">
      <c r="A1404" s="13">
        <v>45597.0</v>
      </c>
      <c r="F1404" s="19" t="s">
        <v>255</v>
      </c>
      <c r="G1404" s="19" t="s">
        <v>51</v>
      </c>
      <c r="Q1404" s="19" t="s">
        <v>256</v>
      </c>
      <c r="T1404" s="19" t="s">
        <v>256</v>
      </c>
    </row>
    <row r="1405" ht="15.75" customHeight="1">
      <c r="A1405" s="2" t="s">
        <v>249</v>
      </c>
      <c r="B1405" s="15">
        <v>75.99</v>
      </c>
      <c r="C1405" s="15">
        <v>857.6</v>
      </c>
      <c r="D1405" s="15">
        <v>70.9</v>
      </c>
      <c r="E1405" s="15">
        <v>33.22</v>
      </c>
      <c r="F1405" s="15">
        <v>111.69</v>
      </c>
      <c r="G1405" s="15">
        <v>166.14</v>
      </c>
      <c r="H1405" s="15">
        <v>44.95</v>
      </c>
      <c r="I1405" s="15">
        <v>30.91</v>
      </c>
      <c r="J1405" s="15">
        <v>44.49</v>
      </c>
      <c r="K1405" s="15">
        <v>143.86</v>
      </c>
      <c r="L1405" s="15">
        <v>65.06</v>
      </c>
      <c r="M1405" s="15">
        <v>34.8</v>
      </c>
      <c r="N1405" s="15">
        <v>114.6</v>
      </c>
      <c r="O1405" s="15"/>
      <c r="P1405" s="15"/>
      <c r="Q1405" s="15">
        <v>77.84</v>
      </c>
      <c r="R1405" s="15">
        <v>105.41</v>
      </c>
      <c r="S1405" s="15">
        <v>98.0</v>
      </c>
      <c r="T1405" s="15">
        <v>52.33</v>
      </c>
      <c r="U1405" s="15">
        <v>305.54</v>
      </c>
      <c r="V1405" s="15">
        <v>295.0</v>
      </c>
      <c r="W1405" s="15">
        <v>130.0</v>
      </c>
      <c r="X1405" s="15">
        <v>61.06</v>
      </c>
      <c r="Y1405" s="15">
        <v>56.25</v>
      </c>
      <c r="Z1405" s="15">
        <v>75.0</v>
      </c>
      <c r="AA1405" s="15">
        <v>285.0</v>
      </c>
      <c r="AB1405" s="15">
        <v>91.9</v>
      </c>
      <c r="AC1405" s="15">
        <v>82.35</v>
      </c>
      <c r="AD1405" s="15">
        <v>107.08</v>
      </c>
      <c r="AE1405" s="15">
        <v>51.94</v>
      </c>
      <c r="AF1405" s="15">
        <v>62.35</v>
      </c>
      <c r="AG1405" s="15">
        <v>56.97</v>
      </c>
      <c r="AH1405" s="15">
        <v>154.49</v>
      </c>
      <c r="AI1405" s="15">
        <v>10.5</v>
      </c>
      <c r="AJ1405" s="15">
        <v>17.5</v>
      </c>
      <c r="AK1405" s="15">
        <v>136.5</v>
      </c>
      <c r="AL1405" s="15">
        <v>4.9</v>
      </c>
      <c r="AM1405" s="15">
        <v>191.64</v>
      </c>
      <c r="AN1405" s="15">
        <v>27.9</v>
      </c>
      <c r="AO1405" s="15">
        <v>74.0</v>
      </c>
      <c r="AP1405" s="15">
        <v>10.33</v>
      </c>
      <c r="AQ1405" s="15">
        <v>143.0</v>
      </c>
      <c r="AR1405" s="15">
        <v>60.0</v>
      </c>
      <c r="AS1405" s="15">
        <v>44.9</v>
      </c>
      <c r="AT1405" s="15">
        <v>810.0</v>
      </c>
      <c r="AU1405" s="15">
        <v>150.01</v>
      </c>
      <c r="AV1405" s="15">
        <v>123.3</v>
      </c>
      <c r="AW1405" s="15">
        <v>29.87</v>
      </c>
      <c r="AX1405" s="15">
        <v>29.9</v>
      </c>
      <c r="AY1405" s="15">
        <v>14.9</v>
      </c>
      <c r="AZ1405" s="15">
        <v>37.0</v>
      </c>
      <c r="BA1405" s="15">
        <v>37.0</v>
      </c>
      <c r="BB1405" s="16"/>
      <c r="BC1405" s="15">
        <v>40.0</v>
      </c>
      <c r="BD1405" s="15">
        <v>10.0</v>
      </c>
      <c r="BE1405" s="15">
        <v>10.0</v>
      </c>
      <c r="BF1405" s="15">
        <v>125.82</v>
      </c>
      <c r="BG1405" s="15">
        <v>82.16</v>
      </c>
      <c r="BH1405" s="15">
        <v>25.0</v>
      </c>
      <c r="BI1405" s="15">
        <v>65.0</v>
      </c>
      <c r="BJ1405" s="15">
        <v>35.6</v>
      </c>
      <c r="BK1405" s="15">
        <v>5.17</v>
      </c>
      <c r="BL1405" s="15">
        <v>238.51</v>
      </c>
      <c r="BM1405" s="15">
        <v>39.9</v>
      </c>
      <c r="BN1405" s="15">
        <v>22.0</v>
      </c>
      <c r="BO1405" s="15">
        <v>320.0</v>
      </c>
      <c r="BP1405" s="15">
        <v>443.27</v>
      </c>
      <c r="BQ1405" s="15">
        <v>470.16</v>
      </c>
      <c r="BR1405" s="15">
        <v>70.0</v>
      </c>
      <c r="BS1405" s="15">
        <v>150.0</v>
      </c>
      <c r="BT1405" s="15">
        <v>35.99</v>
      </c>
      <c r="BU1405" s="15">
        <v>21.93</v>
      </c>
      <c r="BV1405" s="15">
        <v>3.0</v>
      </c>
      <c r="BW1405" s="15">
        <v>22.94</v>
      </c>
      <c r="BX1405" s="15">
        <v>3.0</v>
      </c>
      <c r="BY1405" s="15">
        <v>30.0</v>
      </c>
      <c r="BZ1405" s="15">
        <v>39.85</v>
      </c>
      <c r="CA1405" s="15">
        <v>316.0</v>
      </c>
      <c r="CB1405" s="15">
        <v>170.0</v>
      </c>
      <c r="CC1405" s="15">
        <v>19.9</v>
      </c>
      <c r="CD1405" s="15">
        <v>16.15</v>
      </c>
      <c r="CE1405" s="15">
        <v>8.0</v>
      </c>
      <c r="CF1405" s="15">
        <v>18.9</v>
      </c>
      <c r="CG1405" s="15">
        <v>383.68</v>
      </c>
      <c r="CH1405" s="15">
        <v>64.0</v>
      </c>
      <c r="CI1405" s="15">
        <v>97.86</v>
      </c>
      <c r="CJ1405" s="15">
        <v>69.99</v>
      </c>
      <c r="CK1405" s="15">
        <v>59.99</v>
      </c>
      <c r="CL1405" s="15">
        <v>48.0</v>
      </c>
      <c r="CM1405" s="15">
        <v>5.0</v>
      </c>
      <c r="CN1405" s="15">
        <v>95.0</v>
      </c>
      <c r="CO1405" s="15">
        <v>135.0</v>
      </c>
      <c r="CP1405" s="15">
        <v>13.47</v>
      </c>
      <c r="CQ1405" s="15">
        <v>85.27</v>
      </c>
      <c r="CR1405" s="15">
        <v>66.63</v>
      </c>
      <c r="CS1405" s="15">
        <v>11.0</v>
      </c>
      <c r="CT1405" s="15">
        <v>60.26</v>
      </c>
      <c r="CU1405" s="15">
        <v>116.0</v>
      </c>
      <c r="CV1405" s="15">
        <v>80.0</v>
      </c>
      <c r="CW1405" s="15">
        <v>10.0</v>
      </c>
      <c r="CX1405" s="15">
        <v>14.5</v>
      </c>
      <c r="CY1405" s="15">
        <v>60.0</v>
      </c>
      <c r="CZ1405" s="15">
        <v>60.0</v>
      </c>
      <c r="DA1405" s="15">
        <v>85.98</v>
      </c>
      <c r="DB1405" s="15">
        <v>22.99</v>
      </c>
      <c r="DC1405" s="15">
        <v>170.0</v>
      </c>
      <c r="DD1405" s="15">
        <v>21.99</v>
      </c>
      <c r="DE1405" s="15">
        <v>87.87</v>
      </c>
      <c r="DF1405" s="15">
        <v>59.07</v>
      </c>
      <c r="DG1405" s="15">
        <v>10.0</v>
      </c>
    </row>
    <row r="1406" ht="15.75" customHeight="1">
      <c r="A1406" s="2" t="s">
        <v>237</v>
      </c>
      <c r="B1406" s="15">
        <v>61.47</v>
      </c>
      <c r="C1406" s="15">
        <v>96.58</v>
      </c>
      <c r="D1406" s="15">
        <v>197.07</v>
      </c>
      <c r="E1406" s="15">
        <v>80.56</v>
      </c>
      <c r="F1406" s="15">
        <v>66.15</v>
      </c>
      <c r="G1406" s="15">
        <v>45.94</v>
      </c>
      <c r="H1406" s="15">
        <v>264.67</v>
      </c>
      <c r="I1406" s="15">
        <v>277.2</v>
      </c>
      <c r="J1406" s="15">
        <v>284.98</v>
      </c>
      <c r="K1406" s="15">
        <v>58.0</v>
      </c>
      <c r="L1406" s="15">
        <v>52.3</v>
      </c>
      <c r="M1406" s="15">
        <v>46.89</v>
      </c>
      <c r="N1406" s="15">
        <v>107.09</v>
      </c>
      <c r="O1406" s="15">
        <v>324.06</v>
      </c>
      <c r="P1406" s="15">
        <v>52.8</v>
      </c>
      <c r="Q1406" s="15">
        <v>20.9</v>
      </c>
      <c r="R1406" s="15">
        <v>136.68</v>
      </c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</row>
    <row r="1407" ht="15.75" customHeight="1">
      <c r="A1407" s="19" t="s">
        <v>254</v>
      </c>
      <c r="B1407" s="15">
        <v>1660.0</v>
      </c>
    </row>
    <row r="1408" ht="15.75" customHeight="1">
      <c r="A1408" s="2" t="s">
        <v>212</v>
      </c>
      <c r="B1408" s="15">
        <v>54.33</v>
      </c>
      <c r="D1408" s="35"/>
      <c r="E1408" s="37"/>
    </row>
    <row r="1409" ht="15.75" customHeight="1">
      <c r="A1409" s="2" t="s">
        <v>108</v>
      </c>
      <c r="B1409" s="15">
        <v>3100.0</v>
      </c>
      <c r="C1409" s="15"/>
    </row>
    <row r="1410" ht="15.75" customHeight="1">
      <c r="A1410" s="2" t="s">
        <v>88</v>
      </c>
      <c r="B1410" s="15">
        <v>79.14</v>
      </c>
    </row>
    <row r="1411" ht="15.75" customHeight="1">
      <c r="A1411" s="2" t="s">
        <v>109</v>
      </c>
      <c r="B1411" s="15">
        <v>113.81</v>
      </c>
    </row>
    <row r="1412" ht="15.75" customHeight="1">
      <c r="A1412" s="2" t="s">
        <v>83</v>
      </c>
      <c r="B1412" s="15">
        <v>45.91</v>
      </c>
    </row>
    <row r="1413" ht="15.75" customHeight="1">
      <c r="A1413" s="19" t="s">
        <v>252</v>
      </c>
      <c r="B1413" s="15">
        <v>207.83</v>
      </c>
    </row>
    <row r="1414" ht="15.75" customHeight="1">
      <c r="A1414" s="2" t="s">
        <v>1</v>
      </c>
    </row>
    <row r="1415" ht="15.75" customHeight="1"/>
    <row r="1416" ht="15.75" customHeight="1">
      <c r="A1416" s="13">
        <v>45627.0</v>
      </c>
      <c r="G1416" s="19" t="s">
        <v>255</v>
      </c>
      <c r="H1416" s="19" t="s">
        <v>51</v>
      </c>
      <c r="M1416" s="19" t="s">
        <v>256</v>
      </c>
      <c r="O1416" s="19" t="s">
        <v>256</v>
      </c>
      <c r="X1416" s="19" t="s">
        <v>256</v>
      </c>
    </row>
    <row r="1417" ht="15.75" customHeight="1">
      <c r="A1417" s="2" t="s">
        <v>249</v>
      </c>
      <c r="B1417" s="15">
        <v>75.99</v>
      </c>
      <c r="C1417" s="15">
        <v>857.6</v>
      </c>
      <c r="D1417" s="15">
        <v>70.9</v>
      </c>
      <c r="E1417" s="15">
        <v>33.22</v>
      </c>
      <c r="F1417" s="15">
        <v>82.48</v>
      </c>
      <c r="G1417" s="15">
        <v>111.69</v>
      </c>
      <c r="H1417" s="15">
        <v>166.14</v>
      </c>
      <c r="I1417" s="15">
        <v>44.95</v>
      </c>
      <c r="J1417" s="15">
        <v>30.91</v>
      </c>
      <c r="K1417" s="15">
        <v>44.49</v>
      </c>
      <c r="L1417" s="15">
        <v>65.06</v>
      </c>
      <c r="M1417" s="15">
        <v>77.84</v>
      </c>
      <c r="N1417" s="15">
        <v>105.41</v>
      </c>
      <c r="O1417" s="15">
        <v>52.33</v>
      </c>
      <c r="P1417" s="15">
        <v>295.0</v>
      </c>
      <c r="Q1417" s="15">
        <v>130.0</v>
      </c>
      <c r="R1417" s="15">
        <v>107.88</v>
      </c>
      <c r="S1417" s="15">
        <v>51.94</v>
      </c>
      <c r="T1417" s="15">
        <v>62.35</v>
      </c>
      <c r="U1417" s="15">
        <v>56.97</v>
      </c>
      <c r="V1417" s="15">
        <v>154.49</v>
      </c>
      <c r="W1417" s="15">
        <v>64.02</v>
      </c>
      <c r="X1417" s="15">
        <v>201.0</v>
      </c>
      <c r="Y1417" s="15">
        <v>134.5</v>
      </c>
      <c r="Z1417" s="15">
        <v>116.2</v>
      </c>
      <c r="AA1417" s="15">
        <v>73.8</v>
      </c>
      <c r="AB1417" s="15">
        <v>82.0</v>
      </c>
      <c r="AC1417" s="15">
        <v>340.0</v>
      </c>
      <c r="AD1417" s="15">
        <v>87.6</v>
      </c>
      <c r="AE1417" s="15">
        <v>54.0</v>
      </c>
      <c r="AF1417" s="15">
        <v>21.0</v>
      </c>
      <c r="AG1417" s="15">
        <v>32.0</v>
      </c>
      <c r="AH1417" s="15">
        <v>32.0</v>
      </c>
      <c r="AI1417" s="15">
        <v>4.9</v>
      </c>
      <c r="AJ1417" s="15">
        <v>44.0</v>
      </c>
      <c r="AK1417" s="15">
        <v>112.0</v>
      </c>
      <c r="AL1417" s="15">
        <v>27.9</v>
      </c>
      <c r="AM1417" s="15">
        <v>44.9</v>
      </c>
      <c r="AN1417" s="15">
        <v>20.4</v>
      </c>
      <c r="AO1417" s="15">
        <v>78.0</v>
      </c>
      <c r="AP1417" s="15">
        <v>28.75</v>
      </c>
      <c r="AQ1417" s="15">
        <v>28.75</v>
      </c>
      <c r="AR1417" s="15">
        <v>20.96</v>
      </c>
      <c r="AS1417" s="15">
        <v>156.0</v>
      </c>
      <c r="AT1417" s="15">
        <v>7.98</v>
      </c>
      <c r="AU1417" s="15">
        <v>60.0</v>
      </c>
      <c r="AV1417" s="15">
        <v>72.0</v>
      </c>
      <c r="AW1417" s="15">
        <v>19.97</v>
      </c>
      <c r="AX1417" s="15">
        <v>205.7</v>
      </c>
      <c r="AY1417" s="15">
        <v>95.0</v>
      </c>
      <c r="AZ1417" s="15">
        <v>41.03</v>
      </c>
      <c r="BA1417" s="15">
        <v>29.9</v>
      </c>
      <c r="BB1417" s="15">
        <v>14.9</v>
      </c>
      <c r="BC1417" s="15">
        <v>248.56</v>
      </c>
      <c r="BD1417" s="15">
        <v>43.56</v>
      </c>
      <c r="BE1417" s="15">
        <v>130.0</v>
      </c>
      <c r="BF1417" s="15">
        <v>121.0</v>
      </c>
      <c r="BG1417" s="15">
        <v>14.5</v>
      </c>
      <c r="BH1417" s="15">
        <v>39.9</v>
      </c>
      <c r="BI1417" s="15">
        <v>700.0</v>
      </c>
      <c r="BJ1417" s="15">
        <v>52.89</v>
      </c>
      <c r="BK1417" s="15">
        <v>69.4</v>
      </c>
      <c r="BL1417" s="15">
        <v>35.99</v>
      </c>
      <c r="BM1417" s="15">
        <v>50.0</v>
      </c>
      <c r="BN1417" s="15">
        <v>23.0</v>
      </c>
      <c r="BO1417" s="15">
        <v>26.25</v>
      </c>
      <c r="BP1417" s="15">
        <v>17.42</v>
      </c>
      <c r="BQ1417" s="15">
        <v>288.0</v>
      </c>
      <c r="BR1417" s="15">
        <v>254.0</v>
      </c>
      <c r="BS1417" s="15">
        <v>235.08</v>
      </c>
      <c r="BT1417" s="15">
        <v>9.0</v>
      </c>
      <c r="BU1417" s="15">
        <v>132.6</v>
      </c>
      <c r="BV1417" s="15">
        <v>56.27</v>
      </c>
      <c r="BW1417" s="15">
        <v>19.45</v>
      </c>
      <c r="BX1417" s="15">
        <v>27.46</v>
      </c>
      <c r="BY1417" s="15">
        <v>48.0</v>
      </c>
      <c r="BZ1417" s="15">
        <v>196.0</v>
      </c>
      <c r="CA1417" s="15">
        <v>65.87</v>
      </c>
      <c r="CB1417" s="15">
        <v>181.07</v>
      </c>
      <c r="CC1417" s="15">
        <v>32.0</v>
      </c>
      <c r="CD1417" s="15">
        <v>9.0</v>
      </c>
      <c r="CE1417" s="15">
        <v>16.0</v>
      </c>
      <c r="CF1417" s="15">
        <v>16.0</v>
      </c>
      <c r="CG1417" s="15">
        <v>32.0</v>
      </c>
      <c r="CH1417" s="15">
        <v>16.0</v>
      </c>
      <c r="CI1417" s="15">
        <v>21.0</v>
      </c>
      <c r="CJ1417" s="15">
        <v>75.78</v>
      </c>
      <c r="CK1417" s="15">
        <v>67.01</v>
      </c>
      <c r="CL1417" s="15">
        <v>22.99</v>
      </c>
      <c r="CM1417" s="15">
        <v>68.49</v>
      </c>
      <c r="CN1417" s="15">
        <v>137.94</v>
      </c>
      <c r="CO1417" s="15">
        <v>140.0</v>
      </c>
      <c r="CP1417" s="15">
        <v>187.99</v>
      </c>
      <c r="CQ1417" s="15">
        <v>64.31</v>
      </c>
      <c r="CR1417" s="15">
        <v>16.67</v>
      </c>
      <c r="CS1417" s="15">
        <v>136.7</v>
      </c>
      <c r="CT1417" s="15">
        <v>51.65</v>
      </c>
      <c r="CU1417" s="15">
        <v>80.92</v>
      </c>
      <c r="CV1417" s="15">
        <v>65.0</v>
      </c>
      <c r="CW1417" s="15">
        <v>13.0</v>
      </c>
      <c r="CX1417" s="15">
        <v>24.0</v>
      </c>
      <c r="CY1417" s="15">
        <v>258.6</v>
      </c>
      <c r="CZ1417" s="15">
        <v>86.6</v>
      </c>
      <c r="DA1417" s="15">
        <v>37.1</v>
      </c>
      <c r="DB1417" s="15">
        <v>73.3</v>
      </c>
      <c r="DC1417" s="15">
        <v>107.94</v>
      </c>
      <c r="DD1417" s="15">
        <v>34.75</v>
      </c>
      <c r="DE1417" s="15">
        <v>36.9</v>
      </c>
      <c r="DF1417" s="15">
        <v>39.9</v>
      </c>
      <c r="DG1417" s="15">
        <v>61.0</v>
      </c>
      <c r="DH1417" s="15">
        <v>33.0</v>
      </c>
      <c r="DI1417" s="15">
        <v>80.0</v>
      </c>
    </row>
    <row r="1418" ht="15.75" customHeight="1">
      <c r="A1418" s="2" t="s">
        <v>237</v>
      </c>
      <c r="B1418" s="15">
        <v>197.07</v>
      </c>
      <c r="C1418" s="15">
        <v>324.06</v>
      </c>
      <c r="D1418" s="15">
        <v>88.32</v>
      </c>
      <c r="E1418" s="15">
        <v>219.17</v>
      </c>
      <c r="F1418" s="15">
        <v>207.15</v>
      </c>
      <c r="G1418" s="15">
        <v>245.88</v>
      </c>
      <c r="H1418" s="15">
        <v>59.9</v>
      </c>
      <c r="I1418" s="15">
        <v>14.0</v>
      </c>
      <c r="J1418" s="15">
        <v>57.5</v>
      </c>
      <c r="K1418" s="15">
        <v>40.25</v>
      </c>
      <c r="L1418" s="15">
        <v>126.5</v>
      </c>
      <c r="M1418" s="15">
        <v>83.8</v>
      </c>
      <c r="N1418" s="15">
        <v>80.45</v>
      </c>
      <c r="O1418" s="15">
        <v>25.0</v>
      </c>
      <c r="P1418" s="15">
        <v>13.95</v>
      </c>
      <c r="Q1418" s="15">
        <v>64.47</v>
      </c>
      <c r="R1418" s="15">
        <v>17.5</v>
      </c>
      <c r="S1418" s="15">
        <v>59.0</v>
      </c>
      <c r="T1418" s="15">
        <v>59.9</v>
      </c>
    </row>
    <row r="1419" ht="15.75" customHeight="1">
      <c r="B1419" s="32"/>
    </row>
    <row r="1420" ht="15.75" customHeight="1">
      <c r="A1420" s="2" t="s">
        <v>212</v>
      </c>
      <c r="B1420" s="15">
        <v>57.0</v>
      </c>
    </row>
    <row r="1421" ht="15.75" customHeight="1">
      <c r="A1421" s="2" t="s">
        <v>108</v>
      </c>
      <c r="B1421" s="15">
        <v>9100.0</v>
      </c>
    </row>
    <row r="1422" ht="15.75" customHeight="1">
      <c r="A1422" s="2" t="s">
        <v>88</v>
      </c>
      <c r="B1422" s="15">
        <v>103.12</v>
      </c>
    </row>
    <row r="1423" ht="15.75" customHeight="1">
      <c r="A1423" s="2" t="s">
        <v>109</v>
      </c>
      <c r="B1423" s="15">
        <v>113.81</v>
      </c>
    </row>
    <row r="1424" ht="15.75" customHeight="1">
      <c r="A1424" s="2" t="s">
        <v>83</v>
      </c>
      <c r="B1424" s="15">
        <v>45.91</v>
      </c>
    </row>
    <row r="1425" ht="15.75" customHeight="1">
      <c r="A1425" s="19" t="s">
        <v>252</v>
      </c>
      <c r="B1425" s="15">
        <v>207.83</v>
      </c>
    </row>
    <row r="1426" ht="15.75" customHeight="1">
      <c r="A1426" s="2" t="s">
        <v>1</v>
      </c>
    </row>
    <row r="1427" ht="15.75" customHeight="1"/>
    <row r="1428" ht="15.75" customHeight="1">
      <c r="A1428" s="53">
        <v>45316.0</v>
      </c>
      <c r="E1428" s="19" t="s">
        <v>255</v>
      </c>
      <c r="F1428" s="19" t="s">
        <v>51</v>
      </c>
      <c r="K1428" s="19" t="s">
        <v>256</v>
      </c>
      <c r="M1428" s="19" t="s">
        <v>256</v>
      </c>
      <c r="BS1428" s="19" t="s">
        <v>51</v>
      </c>
    </row>
    <row r="1429" ht="15.75" customHeight="1">
      <c r="A1429" s="2" t="s">
        <v>249</v>
      </c>
      <c r="B1429" s="15">
        <v>857.6</v>
      </c>
      <c r="C1429" s="15">
        <v>70.9</v>
      </c>
      <c r="D1429" s="15">
        <v>33.21</v>
      </c>
      <c r="E1429" s="15">
        <v>111.69</v>
      </c>
      <c r="F1429" s="15">
        <v>166.14</v>
      </c>
      <c r="G1429" s="15">
        <v>44.95</v>
      </c>
      <c r="H1429" s="15">
        <v>30.9</v>
      </c>
      <c r="I1429" s="15">
        <v>44.49</v>
      </c>
      <c r="J1429" s="15">
        <v>65.06</v>
      </c>
      <c r="K1429" s="15">
        <v>77.84</v>
      </c>
      <c r="L1429" s="15">
        <v>105.42</v>
      </c>
      <c r="M1429" s="15">
        <v>52.33</v>
      </c>
      <c r="N1429" s="15">
        <v>295.0</v>
      </c>
      <c r="O1429" s="15">
        <v>154.49</v>
      </c>
      <c r="P1429" s="15">
        <v>34.5</v>
      </c>
      <c r="Q1429" s="15">
        <v>268.86</v>
      </c>
      <c r="R1429" s="15">
        <v>20.37</v>
      </c>
      <c r="S1429" s="15">
        <v>116.2</v>
      </c>
      <c r="T1429" s="15">
        <v>3.66</v>
      </c>
      <c r="U1429" s="15">
        <v>340.0</v>
      </c>
      <c r="V1429" s="15">
        <v>82.47</v>
      </c>
      <c r="W1429" s="15">
        <v>107.93</v>
      </c>
      <c r="X1429" s="15">
        <v>65.0</v>
      </c>
      <c r="Y1429" s="15">
        <v>19.9</v>
      </c>
      <c r="Z1429" s="15">
        <v>100.0</v>
      </c>
      <c r="AA1429" s="15">
        <v>70.0</v>
      </c>
      <c r="AB1429" s="15">
        <v>60.0</v>
      </c>
      <c r="AC1429" s="15">
        <v>156.08</v>
      </c>
      <c r="AD1429" s="15">
        <v>32.7</v>
      </c>
      <c r="AE1429" s="15">
        <v>72.32</v>
      </c>
      <c r="AF1429" s="15">
        <v>29.98</v>
      </c>
      <c r="AG1429" s="15">
        <v>29.99</v>
      </c>
      <c r="AH1429" s="15">
        <v>4.9</v>
      </c>
      <c r="AI1429" s="15">
        <v>129.8</v>
      </c>
      <c r="AJ1429" s="15">
        <v>27.9</v>
      </c>
      <c r="AK1429" s="15">
        <v>546.35</v>
      </c>
      <c r="AL1429" s="15">
        <v>835.96</v>
      </c>
      <c r="AM1429" s="15">
        <v>9.0</v>
      </c>
      <c r="AN1429" s="15">
        <v>17.5</v>
      </c>
      <c r="AO1429" s="15">
        <v>66.85</v>
      </c>
      <c r="AP1429" s="15">
        <v>61.0</v>
      </c>
      <c r="AQ1429" s="15">
        <v>44.9</v>
      </c>
      <c r="AR1429" s="15">
        <v>102.0</v>
      </c>
      <c r="AS1429" s="15">
        <v>199.94</v>
      </c>
      <c r="AT1429" s="15">
        <v>79.5</v>
      </c>
      <c r="AU1429" s="15">
        <v>42.42</v>
      </c>
      <c r="AV1429" s="15">
        <v>57.3</v>
      </c>
      <c r="AW1429" s="15">
        <v>79.95</v>
      </c>
      <c r="AX1429" s="15">
        <v>24.36</v>
      </c>
      <c r="AY1429" s="15">
        <v>55.0</v>
      </c>
      <c r="AZ1429" s="15">
        <v>110.0</v>
      </c>
      <c r="BA1429" s="15">
        <v>14.5</v>
      </c>
      <c r="BB1429" s="15">
        <v>259.0</v>
      </c>
      <c r="BC1429" s="15">
        <v>56.0</v>
      </c>
      <c r="BD1429" s="15">
        <v>2.5</v>
      </c>
      <c r="BE1429" s="15">
        <v>29.9</v>
      </c>
      <c r="BF1429" s="15">
        <v>14.9</v>
      </c>
      <c r="BG1429" s="15">
        <v>38.49</v>
      </c>
      <c r="BH1429" s="15">
        <v>39.31</v>
      </c>
      <c r="BI1429" s="15">
        <v>3.73</v>
      </c>
      <c r="BJ1429" s="15">
        <v>124.0</v>
      </c>
      <c r="BK1429" s="15">
        <v>6.3</v>
      </c>
      <c r="BL1429" s="15">
        <v>36.7</v>
      </c>
      <c r="BM1429" s="15">
        <v>700.0</v>
      </c>
      <c r="BN1429" s="15">
        <v>39.9</v>
      </c>
      <c r="BO1429" s="15">
        <v>218.0</v>
      </c>
      <c r="BP1429" s="15">
        <v>194.01</v>
      </c>
      <c r="BQ1429" s="15">
        <v>132.08</v>
      </c>
      <c r="BR1429" s="15">
        <v>7.5</v>
      </c>
      <c r="BS1429" s="15">
        <v>88.7</v>
      </c>
      <c r="BT1429" s="15">
        <v>41.0</v>
      </c>
      <c r="BU1429" s="15">
        <v>93.0</v>
      </c>
      <c r="BV1429" s="15">
        <v>20.0</v>
      </c>
      <c r="BW1429" s="15">
        <v>99.0</v>
      </c>
      <c r="BX1429" s="15">
        <v>271.37</v>
      </c>
      <c r="BY1429" s="15">
        <v>12.0</v>
      </c>
      <c r="BZ1429" s="15">
        <v>63.95</v>
      </c>
      <c r="CA1429" s="15">
        <v>126.0</v>
      </c>
      <c r="CB1429" s="15">
        <v>44.28</v>
      </c>
      <c r="CC1429" s="15">
        <v>18.15</v>
      </c>
      <c r="CD1429" s="15">
        <v>195.0</v>
      </c>
      <c r="CE1429" s="15">
        <v>55.0</v>
      </c>
      <c r="CF1429" s="15">
        <v>27.0</v>
      </c>
      <c r="CG1429" s="15">
        <v>26.64</v>
      </c>
      <c r="CH1429" s="15">
        <v>34.6</v>
      </c>
      <c r="CI1429" s="15">
        <v>91.98</v>
      </c>
      <c r="CJ1429" s="15">
        <v>205.04</v>
      </c>
    </row>
    <row r="1430" ht="15.75" customHeight="1">
      <c r="A1430" s="2" t="s">
        <v>237</v>
      </c>
      <c r="B1430" s="15">
        <v>324.06</v>
      </c>
      <c r="C1430" s="15">
        <v>245.88</v>
      </c>
      <c r="D1430" s="15">
        <v>126.5</v>
      </c>
      <c r="E1430" s="15">
        <v>238.04</v>
      </c>
      <c r="F1430" s="15">
        <v>54.59</v>
      </c>
      <c r="G1430" s="15">
        <v>125.0</v>
      </c>
      <c r="H1430" s="15">
        <v>40.38</v>
      </c>
      <c r="I1430" s="15">
        <v>140.26</v>
      </c>
      <c r="J1430" s="15">
        <v>89.94</v>
      </c>
      <c r="K1430" s="15">
        <v>340.0</v>
      </c>
      <c r="L1430" s="15">
        <v>211.33</v>
      </c>
      <c r="M1430" s="15">
        <v>22.5</v>
      </c>
      <c r="N1430" s="15">
        <v>90.0</v>
      </c>
      <c r="O1430" s="15">
        <v>26.25</v>
      </c>
      <c r="P1430" s="15">
        <v>76.58</v>
      </c>
      <c r="Q1430" s="15">
        <v>76.0</v>
      </c>
      <c r="R1430" s="15">
        <v>86.35</v>
      </c>
      <c r="S1430" s="15">
        <v>200.0</v>
      </c>
      <c r="T1430" s="15">
        <v>272.94</v>
      </c>
      <c r="U1430" s="15">
        <v>59.9</v>
      </c>
      <c r="V1430" s="15">
        <v>36.97</v>
      </c>
      <c r="W1430" s="15">
        <v>50.0</v>
      </c>
    </row>
    <row r="1431" ht="15.75" customHeight="1">
      <c r="A1431" s="19" t="s">
        <v>252</v>
      </c>
      <c r="B1431" s="15">
        <v>207.83</v>
      </c>
    </row>
    <row r="1432" ht="15.75" customHeight="1">
      <c r="A1432" s="2" t="s">
        <v>212</v>
      </c>
      <c r="B1432" s="15">
        <v>57.0</v>
      </c>
    </row>
    <row r="1433" ht="15.75" customHeight="1">
      <c r="A1433" s="2" t="s">
        <v>108</v>
      </c>
      <c r="B1433" s="15">
        <v>1600.0</v>
      </c>
    </row>
    <row r="1434" ht="15.75" customHeight="1">
      <c r="A1434" s="2" t="s">
        <v>88</v>
      </c>
      <c r="B1434" s="15">
        <v>78.04</v>
      </c>
    </row>
    <row r="1435" ht="15.75" customHeight="1">
      <c r="A1435" s="2" t="s">
        <v>109</v>
      </c>
      <c r="B1435" s="15">
        <v>113.81</v>
      </c>
    </row>
    <row r="1436" ht="15.75" customHeight="1"/>
    <row r="1437" ht="15.75" customHeight="1"/>
    <row r="1438" ht="15.75" customHeight="1">
      <c r="A1438" s="2" t="s">
        <v>1</v>
      </c>
    </row>
    <row r="1439" ht="15.75" customHeight="1"/>
    <row r="1440" ht="15.75" customHeight="1">
      <c r="A1440" s="53">
        <v>45323.0</v>
      </c>
      <c r="C1440" s="19" t="s">
        <v>255</v>
      </c>
      <c r="D1440" s="19" t="s">
        <v>51</v>
      </c>
      <c r="I1440" s="19" t="s">
        <v>256</v>
      </c>
      <c r="V1440" s="19" t="s">
        <v>51</v>
      </c>
    </row>
    <row r="1441" ht="15.75" customHeight="1">
      <c r="A1441" s="2" t="s">
        <v>249</v>
      </c>
      <c r="B1441" s="15">
        <v>70.9</v>
      </c>
      <c r="C1441" s="15">
        <v>111.69</v>
      </c>
      <c r="D1441" s="15">
        <v>166.14</v>
      </c>
      <c r="E1441" s="15">
        <v>44.95</v>
      </c>
      <c r="F1441" s="15">
        <v>30.9</v>
      </c>
      <c r="G1441" s="15">
        <v>44.49</v>
      </c>
      <c r="H1441" s="15">
        <v>65.06</v>
      </c>
      <c r="I1441" s="15">
        <v>77.83</v>
      </c>
      <c r="J1441" s="15">
        <v>295.0</v>
      </c>
      <c r="K1441" s="15">
        <v>116.16</v>
      </c>
      <c r="L1441" s="15">
        <v>340.0</v>
      </c>
      <c r="M1441" s="15">
        <v>82.47</v>
      </c>
      <c r="N1441" s="15">
        <v>107.94</v>
      </c>
      <c r="O1441" s="15">
        <v>65.0</v>
      </c>
      <c r="P1441" s="15">
        <v>835.96</v>
      </c>
      <c r="Q1441" s="15">
        <v>79.5</v>
      </c>
      <c r="R1441" s="15">
        <v>55.0</v>
      </c>
      <c r="S1441" s="15">
        <v>79.95</v>
      </c>
      <c r="T1441" s="15">
        <v>194.0</v>
      </c>
      <c r="U1441" s="15">
        <v>132.06</v>
      </c>
      <c r="V1441" s="15">
        <v>88.66</v>
      </c>
      <c r="W1441" s="15">
        <v>98.17</v>
      </c>
      <c r="X1441" s="15">
        <v>117.4</v>
      </c>
      <c r="Y1441" s="15">
        <v>183.33</v>
      </c>
      <c r="Z1441" s="15">
        <v>78.0</v>
      </c>
      <c r="AA1441" s="15">
        <v>31.59</v>
      </c>
      <c r="AB1441" s="15">
        <v>153.87</v>
      </c>
      <c r="AC1441" s="15">
        <v>423.8</v>
      </c>
      <c r="AD1441" s="15">
        <v>24.0</v>
      </c>
      <c r="AE1441" s="15">
        <v>257.87</v>
      </c>
      <c r="AF1441" s="15">
        <v>4.9</v>
      </c>
      <c r="AG1441" s="15">
        <v>102.67</v>
      </c>
      <c r="AH1441" s="15">
        <v>141.9</v>
      </c>
      <c r="AI1441" s="15">
        <v>19.0</v>
      </c>
      <c r="AJ1441" s="15">
        <v>483.23</v>
      </c>
      <c r="AK1441" s="15">
        <v>19.5</v>
      </c>
      <c r="AL1441" s="15">
        <v>27.9</v>
      </c>
      <c r="AM1441" s="15">
        <v>4.25</v>
      </c>
      <c r="AN1441" s="15">
        <v>96.69</v>
      </c>
      <c r="AO1441" s="15">
        <v>70.21</v>
      </c>
      <c r="AP1441" s="15">
        <v>34.0</v>
      </c>
      <c r="AQ1441" s="15">
        <v>58.9</v>
      </c>
      <c r="AR1441" s="15">
        <v>50.0</v>
      </c>
      <c r="AS1441" s="15">
        <v>21.0</v>
      </c>
      <c r="AT1441" s="15">
        <v>28.9</v>
      </c>
      <c r="AU1441" s="15">
        <v>10.0</v>
      </c>
      <c r="AV1441" s="15">
        <v>44.9</v>
      </c>
      <c r="AW1441" s="15">
        <v>36.22</v>
      </c>
      <c r="AX1441" s="15">
        <v>73.68</v>
      </c>
      <c r="AY1441" s="15">
        <v>147.09</v>
      </c>
      <c r="AZ1441" s="15">
        <v>29.9</v>
      </c>
      <c r="BA1441" s="15">
        <v>14.9</v>
      </c>
      <c r="BB1441" s="15">
        <v>76.63</v>
      </c>
      <c r="BC1441" s="15">
        <v>460.0</v>
      </c>
      <c r="BD1441" s="15">
        <v>3.17</v>
      </c>
      <c r="BE1441" s="15">
        <v>48.0</v>
      </c>
      <c r="BF1441" s="15">
        <v>40.0</v>
      </c>
      <c r="BG1441" s="15">
        <v>19.5</v>
      </c>
      <c r="BH1441" s="15">
        <v>225.0</v>
      </c>
      <c r="BI1441" s="15">
        <v>39.9</v>
      </c>
      <c r="BJ1441" s="15">
        <v>200.0</v>
      </c>
      <c r="BK1441" s="15">
        <v>200.0</v>
      </c>
      <c r="BL1441" s="15">
        <v>25.0</v>
      </c>
      <c r="BM1441" s="15">
        <v>50.0</v>
      </c>
      <c r="BN1441" s="15">
        <v>9.0</v>
      </c>
      <c r="BO1441" s="15">
        <v>12.94</v>
      </c>
      <c r="BP1441" s="15">
        <v>35.99</v>
      </c>
      <c r="BQ1441" s="15">
        <v>24.0</v>
      </c>
      <c r="BR1441" s="15">
        <v>30.0</v>
      </c>
      <c r="BS1441" s="15">
        <v>30.0</v>
      </c>
      <c r="BT1441" s="15">
        <v>19.9</v>
      </c>
      <c r="BU1441" s="15">
        <v>192.0</v>
      </c>
      <c r="BV1441" s="15">
        <v>24.0</v>
      </c>
      <c r="BW1441" s="15">
        <v>102.0</v>
      </c>
      <c r="BX1441" s="15">
        <v>70.85</v>
      </c>
      <c r="BY1441" s="15">
        <v>36.07</v>
      </c>
      <c r="BZ1441" s="15">
        <v>57.52</v>
      </c>
      <c r="CA1441" s="15">
        <v>80.0</v>
      </c>
      <c r="CB1441" s="15">
        <v>15.4</v>
      </c>
      <c r="CC1441" s="15">
        <v>8.58</v>
      </c>
      <c r="CD1441" s="15">
        <v>54.51</v>
      </c>
      <c r="CE1441" s="15">
        <v>80.0</v>
      </c>
      <c r="CF1441" s="15">
        <v>37.3</v>
      </c>
      <c r="CG1441" s="15">
        <v>6.18</v>
      </c>
      <c r="CH1441" s="15">
        <v>46.55</v>
      </c>
      <c r="CI1441" s="15">
        <v>31.35</v>
      </c>
      <c r="CJ1441" s="15">
        <v>227.22</v>
      </c>
      <c r="CK1441" s="15">
        <v>66.5</v>
      </c>
      <c r="CL1441" s="15">
        <v>152.9</v>
      </c>
      <c r="CM1441" s="15">
        <v>144.82</v>
      </c>
      <c r="CN1441" s="15">
        <v>46.95</v>
      </c>
      <c r="CO1441" s="15">
        <v>311.74</v>
      </c>
      <c r="CP1441" s="15">
        <v>90.56</v>
      </c>
      <c r="CQ1441" s="15">
        <v>72.35</v>
      </c>
      <c r="CR1441" s="15">
        <v>55.0</v>
      </c>
      <c r="CS1441" s="15">
        <v>67.6</v>
      </c>
      <c r="CT1441" s="15">
        <v>116.0</v>
      </c>
      <c r="CU1441" s="15">
        <v>37.95</v>
      </c>
      <c r="CV1441" s="15">
        <v>54.89</v>
      </c>
      <c r="CW1441" s="15">
        <v>14.37</v>
      </c>
      <c r="CX1441" s="15">
        <v>399.3</v>
      </c>
      <c r="CY1441" s="15">
        <v>323.91</v>
      </c>
      <c r="CZ1441" s="15">
        <v>170.0</v>
      </c>
      <c r="DA1441" s="15">
        <v>24.0</v>
      </c>
      <c r="DB1441" s="15">
        <v>50.0</v>
      </c>
    </row>
    <row r="1442" ht="15.75" customHeight="1">
      <c r="A1442" s="2" t="s">
        <v>237</v>
      </c>
      <c r="B1442" s="15">
        <v>324.06</v>
      </c>
      <c r="C1442" s="15">
        <v>245.87</v>
      </c>
      <c r="D1442" s="15">
        <v>126.5</v>
      </c>
      <c r="E1442" s="15">
        <v>238.04</v>
      </c>
      <c r="F1442" s="15">
        <v>40.38</v>
      </c>
      <c r="G1442" s="15">
        <v>89.92</v>
      </c>
      <c r="H1442" s="15">
        <v>340.0</v>
      </c>
      <c r="I1442" s="15">
        <v>76.56</v>
      </c>
      <c r="J1442" s="15">
        <v>30.25</v>
      </c>
      <c r="K1442" s="15">
        <v>28.72</v>
      </c>
      <c r="L1442" s="15">
        <v>54.29</v>
      </c>
      <c r="M1442" s="15">
        <v>455.66</v>
      </c>
      <c r="N1442" s="15">
        <v>68.0</v>
      </c>
      <c r="O1442" s="15">
        <v>164.8</v>
      </c>
      <c r="P1442" s="15">
        <v>58.8</v>
      </c>
      <c r="Q1442" s="15">
        <v>104.04</v>
      </c>
      <c r="R1442" s="15">
        <v>112.3</v>
      </c>
      <c r="S1442" s="15">
        <v>155.3</v>
      </c>
      <c r="T1442" s="15">
        <v>159.94</v>
      </c>
      <c r="U1442" s="15">
        <v>99.5</v>
      </c>
      <c r="V1442" s="15">
        <v>95.0</v>
      </c>
      <c r="W1442" s="15">
        <v>232.77</v>
      </c>
      <c r="X1442" s="15">
        <v>33.74</v>
      </c>
      <c r="Y1442" s="15">
        <v>19.9</v>
      </c>
      <c r="Z1442" s="15">
        <v>136.0</v>
      </c>
      <c r="AA1442" s="15">
        <v>83.9</v>
      </c>
      <c r="AB1442" s="15">
        <v>51.0</v>
      </c>
    </row>
    <row r="1443" ht="15.75" customHeight="1">
      <c r="A1443" s="2" t="s">
        <v>212</v>
      </c>
      <c r="B1443" s="15">
        <v>57.0</v>
      </c>
    </row>
    <row r="1444" ht="15.75" customHeight="1">
      <c r="A1444" s="2" t="s">
        <v>108</v>
      </c>
      <c r="B1444" s="15">
        <v>2100.0</v>
      </c>
    </row>
    <row r="1445" ht="15.75" customHeight="1">
      <c r="A1445" s="2" t="s">
        <v>88</v>
      </c>
      <c r="B1445" s="15">
        <v>113.36</v>
      </c>
    </row>
    <row r="1446" ht="15.75" customHeight="1">
      <c r="A1446" s="2" t="s">
        <v>109</v>
      </c>
      <c r="B1446" s="15">
        <v>145.1</v>
      </c>
    </row>
    <row r="1447" ht="15.75" customHeight="1">
      <c r="A1447" s="2" t="s">
        <v>83</v>
      </c>
      <c r="B1447" s="15">
        <v>48.02</v>
      </c>
    </row>
    <row r="1448" ht="15.75" customHeight="1">
      <c r="A1448" s="19" t="s">
        <v>252</v>
      </c>
      <c r="B1448" s="15">
        <v>207.83</v>
      </c>
    </row>
    <row r="1449" ht="15.75" customHeight="1"/>
    <row r="1450" ht="15.75" customHeight="1">
      <c r="A1450" s="2" t="s">
        <v>1</v>
      </c>
      <c r="B1450" s="2">
        <f>SUM(B1441:DI1449)</f>
        <v>17085.38</v>
      </c>
    </row>
    <row r="1451" ht="15.75" customHeight="1"/>
    <row r="1452" ht="15.75" customHeight="1">
      <c r="A1452" s="53">
        <v>45352.0</v>
      </c>
      <c r="B1452" s="19" t="s">
        <v>255</v>
      </c>
      <c r="C1452" s="19" t="s">
        <v>51</v>
      </c>
      <c r="D1452" s="19" t="s">
        <v>256</v>
      </c>
      <c r="P1452" s="19" t="s">
        <v>51</v>
      </c>
    </row>
    <row r="1453" ht="15.75" customHeight="1">
      <c r="A1453" s="2" t="s">
        <v>249</v>
      </c>
      <c r="B1453" s="15">
        <v>111.69</v>
      </c>
      <c r="C1453" s="15">
        <v>166.14</v>
      </c>
      <c r="D1453" s="15">
        <v>77.84</v>
      </c>
      <c r="E1453" s="15">
        <v>30.9</v>
      </c>
      <c r="F1453" s="15">
        <v>44.49</v>
      </c>
      <c r="G1453" s="15">
        <v>65.06</v>
      </c>
      <c r="H1453" s="15">
        <v>295.0</v>
      </c>
      <c r="I1453" s="15">
        <v>116.2</v>
      </c>
      <c r="J1453" s="15">
        <v>340.0</v>
      </c>
      <c r="K1453" s="15">
        <v>835.9</v>
      </c>
      <c r="L1453" s="15">
        <v>79.5</v>
      </c>
      <c r="M1453" s="15">
        <v>79.95</v>
      </c>
      <c r="N1453" s="15">
        <v>194.0</v>
      </c>
      <c r="O1453" s="15">
        <v>132.06</v>
      </c>
      <c r="P1453" s="15">
        <v>88.66</v>
      </c>
      <c r="Q1453" s="15">
        <v>183.32</v>
      </c>
      <c r="R1453" s="15">
        <v>102.62</v>
      </c>
      <c r="S1453" s="15">
        <v>225.0</v>
      </c>
      <c r="T1453" s="15">
        <v>125.13</v>
      </c>
      <c r="U1453" s="15">
        <v>139.5</v>
      </c>
      <c r="V1453" s="15">
        <v>124.02</v>
      </c>
      <c r="W1453" s="15">
        <v>69.9</v>
      </c>
      <c r="X1453" s="15">
        <v>150.0</v>
      </c>
      <c r="Y1453" s="15">
        <v>4.9</v>
      </c>
      <c r="Z1453" s="15">
        <v>27.9</v>
      </c>
      <c r="AA1453" s="15">
        <v>84.7</v>
      </c>
      <c r="AB1453" s="15">
        <v>236.0</v>
      </c>
      <c r="AC1453" s="15">
        <v>44.9</v>
      </c>
      <c r="AD1453" s="15">
        <v>9.0</v>
      </c>
      <c r="AE1453" s="15">
        <v>29.85</v>
      </c>
      <c r="AF1453" s="15">
        <v>181.21</v>
      </c>
      <c r="AG1453" s="15">
        <v>68.0</v>
      </c>
      <c r="AH1453" s="15">
        <v>30.0</v>
      </c>
      <c r="AI1453" s="15">
        <v>15.0</v>
      </c>
      <c r="AJ1453" s="15">
        <v>15.0</v>
      </c>
      <c r="AK1453" s="15">
        <v>15.0</v>
      </c>
      <c r="AL1453" s="15">
        <v>15.0</v>
      </c>
      <c r="AM1453" s="15">
        <v>24.0</v>
      </c>
      <c r="AN1453" s="15">
        <v>35.7</v>
      </c>
      <c r="AO1453" s="15">
        <v>83.13</v>
      </c>
      <c r="AP1453" s="15">
        <v>1080.0</v>
      </c>
      <c r="AQ1453" s="15">
        <v>189.36</v>
      </c>
      <c r="AR1453" s="15">
        <v>360.0</v>
      </c>
      <c r="AS1453" s="15">
        <v>105.81</v>
      </c>
      <c r="AT1453" s="15">
        <v>406.0</v>
      </c>
      <c r="AU1453" s="15">
        <v>492.78</v>
      </c>
      <c r="AV1453" s="15">
        <v>100.0</v>
      </c>
      <c r="AW1453" s="15">
        <v>23.95</v>
      </c>
      <c r="AX1453" s="15">
        <v>26.94</v>
      </c>
      <c r="AY1453" s="15">
        <v>28.92</v>
      </c>
      <c r="AZ1453" s="15">
        <v>39.9</v>
      </c>
      <c r="BA1453" s="15">
        <v>101.7</v>
      </c>
      <c r="BB1453" s="15">
        <v>130.0</v>
      </c>
      <c r="BC1453" s="15">
        <v>70.0</v>
      </c>
      <c r="BD1453" s="15">
        <v>178.0</v>
      </c>
      <c r="BE1453" s="15">
        <v>35.99</v>
      </c>
      <c r="BF1453" s="15">
        <v>85.0</v>
      </c>
      <c r="BG1453" s="15">
        <v>19.9</v>
      </c>
      <c r="BH1453" s="15">
        <v>122.1</v>
      </c>
      <c r="BI1453" s="15">
        <v>68.0</v>
      </c>
      <c r="BJ1453" s="15">
        <v>48.0</v>
      </c>
      <c r="BK1453" s="15">
        <v>145.75</v>
      </c>
      <c r="BL1453" s="15">
        <v>25.39</v>
      </c>
      <c r="BM1453" s="15">
        <v>39.98</v>
      </c>
      <c r="BN1453" s="15">
        <v>395.56</v>
      </c>
      <c r="BO1453" s="15">
        <v>79.5</v>
      </c>
      <c r="BP1453" s="15">
        <v>75.0</v>
      </c>
      <c r="BQ1453" s="15">
        <v>76.8</v>
      </c>
      <c r="BR1453" s="15">
        <v>80.0</v>
      </c>
      <c r="BS1453" s="15">
        <v>40.0</v>
      </c>
      <c r="BT1453" s="15">
        <v>20.0</v>
      </c>
      <c r="BU1453" s="15">
        <v>24.0</v>
      </c>
      <c r="BV1453" s="15">
        <v>12.0</v>
      </c>
      <c r="BW1453" s="15">
        <v>96.7</v>
      </c>
      <c r="BX1453" s="15">
        <v>61.02</v>
      </c>
      <c r="BY1453" s="15">
        <v>36.63</v>
      </c>
      <c r="BZ1453" s="15">
        <v>177.0</v>
      </c>
      <c r="CA1453" s="15">
        <v>99.9</v>
      </c>
      <c r="CB1453" s="15">
        <v>114.0</v>
      </c>
      <c r="CC1453" s="15">
        <v>242.1</v>
      </c>
      <c r="CD1453" s="15">
        <v>42.98</v>
      </c>
      <c r="CE1453" s="15">
        <v>271.79</v>
      </c>
      <c r="CF1453" s="15">
        <v>30.0</v>
      </c>
      <c r="CG1453" s="15">
        <v>99.0</v>
      </c>
      <c r="CH1453" s="15">
        <v>9.98</v>
      </c>
      <c r="CI1453" s="15">
        <v>163.0</v>
      </c>
      <c r="CJ1453" s="15">
        <v>25.0</v>
      </c>
      <c r="CK1453" s="15">
        <v>191.4</v>
      </c>
      <c r="CL1453" s="15">
        <v>77.02</v>
      </c>
      <c r="CM1453" s="15">
        <v>197.42</v>
      </c>
      <c r="CN1453" s="15">
        <v>19.9</v>
      </c>
      <c r="CO1453" s="15">
        <v>52.38</v>
      </c>
      <c r="CP1453" s="15">
        <v>94.9</v>
      </c>
      <c r="CQ1453" s="15">
        <v>110.69</v>
      </c>
      <c r="CR1453" s="15">
        <v>13.0</v>
      </c>
      <c r="CS1453" s="15">
        <v>65.0</v>
      </c>
      <c r="CT1453" s="15">
        <v>89.17</v>
      </c>
    </row>
    <row r="1454" ht="15.75" customHeight="1">
      <c r="A1454" s="2" t="s">
        <v>237</v>
      </c>
      <c r="B1454" s="15">
        <v>324.05</v>
      </c>
      <c r="C1454" s="15">
        <v>238.04</v>
      </c>
      <c r="D1454" s="15">
        <v>40.36</v>
      </c>
      <c r="E1454" s="15">
        <v>89.92</v>
      </c>
      <c r="F1454" s="15">
        <v>76.56</v>
      </c>
      <c r="G1454" s="15">
        <v>54.27</v>
      </c>
      <c r="H1454" s="15">
        <v>112.3</v>
      </c>
      <c r="I1454" s="15">
        <v>99.5</v>
      </c>
      <c r="J1454" s="15">
        <v>95.0</v>
      </c>
      <c r="K1454" s="15">
        <v>59.9</v>
      </c>
      <c r="L1454" s="15">
        <v>199.65</v>
      </c>
      <c r="M1454" s="15">
        <v>278.52</v>
      </c>
      <c r="N1454" s="15">
        <v>229.69</v>
      </c>
      <c r="O1454" s="15">
        <v>83.36</v>
      </c>
      <c r="P1454" s="15">
        <v>70.0</v>
      </c>
      <c r="Q1454" s="15">
        <v>105.04</v>
      </c>
      <c r="R1454" s="15">
        <v>428.28</v>
      </c>
      <c r="S1454" s="15">
        <v>24.03</v>
      </c>
      <c r="T1454" s="15">
        <v>58.41</v>
      </c>
      <c r="U1454" s="15">
        <v>58.0</v>
      </c>
      <c r="V1454" s="15">
        <v>88.88</v>
      </c>
      <c r="W1454" s="15">
        <v>61.0</v>
      </c>
      <c r="X1454" s="15">
        <v>25.0</v>
      </c>
      <c r="Y1454" s="15">
        <v>27.99</v>
      </c>
      <c r="Z1454" s="15">
        <v>59.9</v>
      </c>
    </row>
    <row r="1455" ht="15.75" customHeight="1">
      <c r="A1455" s="2" t="s">
        <v>212</v>
      </c>
      <c r="B1455" s="15">
        <v>57.0</v>
      </c>
    </row>
    <row r="1456" ht="15.75" customHeight="1">
      <c r="A1456" s="2" t="s">
        <v>108</v>
      </c>
      <c r="B1456" s="15">
        <v>2320.0</v>
      </c>
    </row>
    <row r="1457" ht="15.75" customHeight="1">
      <c r="A1457" s="2" t="s">
        <v>88</v>
      </c>
      <c r="B1457" s="15">
        <v>110.49</v>
      </c>
    </row>
    <row r="1458" ht="15.75" customHeight="1">
      <c r="A1458" s="2" t="s">
        <v>109</v>
      </c>
      <c r="B1458" s="15">
        <v>131.59</v>
      </c>
    </row>
    <row r="1459" ht="15.75" customHeight="1">
      <c r="A1459" s="2" t="s">
        <v>83</v>
      </c>
      <c r="B1459" s="15">
        <v>48.02</v>
      </c>
    </row>
    <row r="1460" ht="15.75" customHeight="1">
      <c r="A1460" s="19" t="s">
        <v>252</v>
      </c>
      <c r="B1460" s="15">
        <v>207.83</v>
      </c>
    </row>
    <row r="1461" ht="15.75" customHeight="1"/>
    <row r="1462" ht="15.75" customHeight="1">
      <c r="A1462" s="2" t="s">
        <v>1</v>
      </c>
      <c r="B1462" s="2">
        <f>SUM(B1453:DI1461)</f>
        <v>17665.06</v>
      </c>
    </row>
    <row r="1463" ht="15.75" customHeight="1"/>
    <row r="1464" ht="15.75" customHeight="1">
      <c r="A1464" s="54">
        <v>45383.0</v>
      </c>
      <c r="B1464" s="19" t="s">
        <v>255</v>
      </c>
      <c r="C1464" s="19" t="s">
        <v>256</v>
      </c>
      <c r="M1464" s="19" t="s">
        <v>51</v>
      </c>
    </row>
    <row r="1465" ht="15.75" customHeight="1">
      <c r="A1465" s="35" t="s">
        <v>249</v>
      </c>
      <c r="B1465" s="15">
        <v>111.69</v>
      </c>
      <c r="C1465" s="15">
        <v>77.83</v>
      </c>
      <c r="D1465" s="15">
        <v>30.9</v>
      </c>
      <c r="E1465" s="15">
        <v>44.49</v>
      </c>
      <c r="F1465" s="15">
        <v>65.06</v>
      </c>
      <c r="G1465" s="15">
        <v>295.0</v>
      </c>
      <c r="H1465" s="15">
        <v>116.16</v>
      </c>
      <c r="I1465" s="15">
        <v>340.0</v>
      </c>
      <c r="J1465" s="15">
        <v>835.96</v>
      </c>
      <c r="K1465" s="15">
        <v>79.5</v>
      </c>
      <c r="L1465" s="15">
        <v>79.95</v>
      </c>
      <c r="M1465" s="15">
        <v>88.66</v>
      </c>
      <c r="N1465" s="15">
        <v>183.32</v>
      </c>
      <c r="O1465" s="15">
        <v>102.62</v>
      </c>
      <c r="P1465" s="15">
        <v>125.12</v>
      </c>
      <c r="Q1465" s="15">
        <v>139.5</v>
      </c>
      <c r="R1465" s="15">
        <v>123.99</v>
      </c>
      <c r="S1465" s="15">
        <v>236.0</v>
      </c>
      <c r="T1465" s="15">
        <v>492.78</v>
      </c>
      <c r="U1465" s="15">
        <v>158.2</v>
      </c>
      <c r="V1465" s="15">
        <v>44.9</v>
      </c>
      <c r="W1465" s="15">
        <v>27.9</v>
      </c>
      <c r="X1465" s="15">
        <v>4.9</v>
      </c>
      <c r="Y1465" s="15">
        <v>488.21</v>
      </c>
      <c r="Z1465" s="15">
        <v>39.9</v>
      </c>
      <c r="AA1465" s="15">
        <v>10.93</v>
      </c>
      <c r="AB1465" s="15">
        <v>85.98</v>
      </c>
      <c r="AC1465" s="15">
        <v>82.0</v>
      </c>
      <c r="AD1465" s="15">
        <v>125.0</v>
      </c>
      <c r="AE1465" s="15">
        <v>35.99</v>
      </c>
      <c r="AF1465" s="15">
        <v>5.69</v>
      </c>
      <c r="AG1465" s="15">
        <v>19.9</v>
      </c>
      <c r="AH1465" s="15">
        <v>4.38</v>
      </c>
      <c r="AI1465" s="15">
        <v>3.22</v>
      </c>
      <c r="AJ1465" s="15">
        <v>120.0</v>
      </c>
      <c r="AK1465" s="15">
        <v>22.94</v>
      </c>
      <c r="AL1465" s="15">
        <v>7.17</v>
      </c>
      <c r="AM1465" s="15">
        <v>22.9</v>
      </c>
      <c r="AN1465" s="15">
        <v>23.96</v>
      </c>
      <c r="AO1465" s="15">
        <v>14.95</v>
      </c>
      <c r="AP1465" s="15">
        <v>26.99</v>
      </c>
      <c r="AQ1465" s="15">
        <v>17.0</v>
      </c>
      <c r="AR1465" s="15">
        <v>25.0</v>
      </c>
      <c r="AS1465" s="16"/>
      <c r="AT1465" s="16"/>
      <c r="AU1465" s="16"/>
      <c r="AV1465" s="16"/>
      <c r="AW1465" s="16"/>
      <c r="AX1465" s="16"/>
      <c r="AY1465" s="16"/>
    </row>
    <row r="1466" ht="15.75" customHeight="1">
      <c r="A1466" s="35" t="s">
        <v>237</v>
      </c>
      <c r="B1466" s="15">
        <v>89.92</v>
      </c>
      <c r="C1466" s="15">
        <v>54.27</v>
      </c>
      <c r="D1466" s="15">
        <v>112.3</v>
      </c>
      <c r="E1466" s="15">
        <v>278.51</v>
      </c>
      <c r="F1466" s="15">
        <v>229.65</v>
      </c>
      <c r="G1466" s="15">
        <v>248.4</v>
      </c>
      <c r="H1466" s="15">
        <v>299.5</v>
      </c>
      <c r="I1466" s="15">
        <v>57.7</v>
      </c>
      <c r="J1466" s="15">
        <v>63.24</v>
      </c>
      <c r="K1466" s="15">
        <v>700.0</v>
      </c>
      <c r="L1466" s="15">
        <v>25.64</v>
      </c>
      <c r="M1466" s="15">
        <v>9.0</v>
      </c>
      <c r="N1466" s="15">
        <v>614.04</v>
      </c>
      <c r="O1466" s="15">
        <v>405.08</v>
      </c>
      <c r="P1466" s="15">
        <v>42.9</v>
      </c>
      <c r="Q1466" s="15">
        <v>90.0</v>
      </c>
      <c r="R1466" s="15">
        <v>80.0</v>
      </c>
      <c r="S1466" s="15">
        <v>407.75</v>
      </c>
      <c r="T1466" s="15">
        <v>84.0</v>
      </c>
      <c r="U1466" s="15">
        <v>70.0</v>
      </c>
      <c r="V1466" s="15">
        <v>166.77</v>
      </c>
      <c r="W1466" s="15">
        <v>5.0</v>
      </c>
      <c r="X1466" s="15">
        <v>30.0</v>
      </c>
      <c r="Y1466" s="15">
        <v>38.4</v>
      </c>
      <c r="Z1466" s="15">
        <v>340.0</v>
      </c>
      <c r="AA1466" s="15">
        <v>12.7</v>
      </c>
      <c r="AB1466" s="15">
        <v>68.0</v>
      </c>
      <c r="AC1466" s="15">
        <v>172.96</v>
      </c>
      <c r="AD1466" s="15">
        <v>36.5</v>
      </c>
      <c r="AE1466" s="15">
        <v>98.0</v>
      </c>
      <c r="AF1466" s="15">
        <v>20.0</v>
      </c>
      <c r="AG1466" s="15">
        <v>79.82</v>
      </c>
      <c r="AH1466" s="15">
        <v>80.46</v>
      </c>
      <c r="AI1466" s="15">
        <v>153.83</v>
      </c>
      <c r="AJ1466" s="15">
        <v>53.89</v>
      </c>
      <c r="AK1466" s="15">
        <v>41.3</v>
      </c>
      <c r="AL1466" s="15">
        <v>99.0</v>
      </c>
      <c r="AM1466" s="15">
        <v>130.82</v>
      </c>
      <c r="AN1466" s="15">
        <v>6.4</v>
      </c>
      <c r="AO1466" s="15">
        <v>102.4</v>
      </c>
      <c r="AP1466" s="15">
        <v>153.3</v>
      </c>
      <c r="AQ1466" s="15">
        <v>77.0</v>
      </c>
      <c r="AR1466" s="15">
        <v>54.0</v>
      </c>
      <c r="AS1466" s="15">
        <v>10.0</v>
      </c>
      <c r="AT1466" s="15">
        <v>195.0</v>
      </c>
      <c r="AU1466" s="15">
        <v>24.0</v>
      </c>
      <c r="AV1466" s="15">
        <v>315.06</v>
      </c>
      <c r="AW1466" s="15">
        <v>40.0</v>
      </c>
      <c r="AX1466" s="15">
        <v>245.3</v>
      </c>
      <c r="AY1466" s="15">
        <v>51.58</v>
      </c>
      <c r="AZ1466" s="15">
        <v>82.88</v>
      </c>
      <c r="BA1466" s="15">
        <v>40.2</v>
      </c>
      <c r="BB1466" s="15">
        <v>67.94</v>
      </c>
      <c r="BC1466" s="15">
        <v>7.7</v>
      </c>
      <c r="BD1466" s="15">
        <v>74.27</v>
      </c>
      <c r="BE1466" s="15">
        <v>29.85</v>
      </c>
      <c r="BF1466" s="15">
        <v>67.0</v>
      </c>
      <c r="BG1466" s="15">
        <v>200.0</v>
      </c>
      <c r="BH1466" s="15">
        <v>73.85</v>
      </c>
      <c r="BI1466" s="15">
        <v>79.8</v>
      </c>
      <c r="BJ1466" s="15">
        <v>13.18</v>
      </c>
      <c r="BK1466" s="15">
        <v>7.6</v>
      </c>
      <c r="BL1466" s="15">
        <v>88.85</v>
      </c>
      <c r="BM1466" s="15">
        <v>41.1</v>
      </c>
      <c r="BN1466" s="15">
        <v>196.02</v>
      </c>
      <c r="BO1466" s="15">
        <v>19.5</v>
      </c>
      <c r="BP1466" s="15">
        <v>12.99</v>
      </c>
      <c r="BQ1466" s="15">
        <v>26.9</v>
      </c>
      <c r="BR1466" s="15">
        <v>47.0</v>
      </c>
      <c r="BS1466" s="15">
        <v>270.0</v>
      </c>
      <c r="BT1466" s="15">
        <v>314.42</v>
      </c>
      <c r="BU1466" s="15">
        <v>35.0</v>
      </c>
      <c r="BV1466" s="15">
        <v>199.9</v>
      </c>
      <c r="BW1466" s="15">
        <v>5.0</v>
      </c>
      <c r="BX1466" s="15">
        <v>18.0</v>
      </c>
      <c r="BY1466" s="15">
        <v>41.0</v>
      </c>
      <c r="BZ1466" s="15">
        <v>33.5</v>
      </c>
      <c r="CA1466" s="15">
        <v>60.0</v>
      </c>
      <c r="CB1466" s="15">
        <v>145.1</v>
      </c>
      <c r="CC1466" s="15">
        <v>23.0</v>
      </c>
      <c r="CD1466" s="15">
        <v>59.9</v>
      </c>
      <c r="CE1466" s="15">
        <v>46.0</v>
      </c>
      <c r="CF1466" s="15">
        <v>23.0</v>
      </c>
      <c r="CG1466" s="15">
        <v>9.0</v>
      </c>
      <c r="CH1466" s="15">
        <v>96.87</v>
      </c>
      <c r="CI1466" s="15">
        <v>79.0</v>
      </c>
      <c r="CJ1466" s="15">
        <v>43.0</v>
      </c>
      <c r="CK1466" s="15">
        <v>15.0</v>
      </c>
    </row>
    <row r="1467" ht="15.75" customHeight="1">
      <c r="A1467" s="55" t="s">
        <v>47</v>
      </c>
      <c r="B1467" s="56">
        <v>236.39</v>
      </c>
    </row>
    <row r="1468" ht="15.75" customHeight="1">
      <c r="A1468" s="35" t="s">
        <v>212</v>
      </c>
      <c r="B1468" s="57">
        <v>57.3</v>
      </c>
    </row>
    <row r="1469" ht="15.75" customHeight="1">
      <c r="A1469" s="35" t="s">
        <v>108</v>
      </c>
      <c r="B1469" s="57">
        <v>1100.0</v>
      </c>
    </row>
    <row r="1470" ht="15.75" customHeight="1">
      <c r="A1470" s="35" t="s">
        <v>88</v>
      </c>
      <c r="B1470" s="57">
        <v>106.88</v>
      </c>
    </row>
    <row r="1471" ht="15.75" customHeight="1">
      <c r="A1471" s="35" t="s">
        <v>109</v>
      </c>
      <c r="B1471" s="57">
        <v>131.59</v>
      </c>
    </row>
    <row r="1472" ht="15.75" customHeight="1">
      <c r="A1472" s="35" t="s">
        <v>83</v>
      </c>
      <c r="B1472" s="15">
        <v>48.02</v>
      </c>
    </row>
    <row r="1473" ht="15.75" customHeight="1">
      <c r="A1473" s="35" t="s">
        <v>252</v>
      </c>
      <c r="B1473" s="36">
        <v>207.83</v>
      </c>
    </row>
    <row r="1474" ht="15.75" customHeight="1">
      <c r="A1474" s="35" t="s">
        <v>1</v>
      </c>
      <c r="B1474" s="35">
        <f>SUM(B1465:CO1473)</f>
        <v>16431.26</v>
      </c>
    </row>
    <row r="1475" ht="15.75" customHeight="1"/>
    <row r="1476" ht="15.75" customHeight="1">
      <c r="A1476" s="54">
        <v>45413.0</v>
      </c>
      <c r="B1476" s="19" t="s">
        <v>255</v>
      </c>
      <c r="L1476" s="19" t="s">
        <v>51</v>
      </c>
    </row>
    <row r="1477" ht="15.75" customHeight="1">
      <c r="A1477" s="35" t="s">
        <v>249</v>
      </c>
      <c r="B1477" s="15">
        <v>111.69</v>
      </c>
      <c r="C1477" s="15">
        <v>123.99</v>
      </c>
      <c r="D1477" s="15">
        <v>30.9</v>
      </c>
      <c r="E1477" s="15">
        <v>44.49</v>
      </c>
      <c r="F1477" s="15">
        <v>65.06</v>
      </c>
      <c r="G1477" s="15">
        <v>295.0</v>
      </c>
      <c r="H1477" s="15">
        <v>116.16</v>
      </c>
      <c r="I1477" s="15">
        <v>340.0</v>
      </c>
      <c r="J1477" s="15">
        <v>835.96</v>
      </c>
      <c r="K1477" s="15">
        <v>79.5</v>
      </c>
      <c r="L1477" s="15">
        <v>88.66</v>
      </c>
      <c r="M1477" s="15">
        <v>102.67</v>
      </c>
      <c r="N1477" s="15">
        <v>74.0</v>
      </c>
      <c r="O1477" s="15">
        <v>1867.86</v>
      </c>
      <c r="P1477" s="15">
        <v>1867.86</v>
      </c>
      <c r="Q1477" s="15">
        <v>50.0</v>
      </c>
      <c r="R1477" s="15">
        <v>146.51</v>
      </c>
      <c r="S1477" s="15">
        <v>500.0</v>
      </c>
      <c r="T1477" s="15">
        <v>4.9</v>
      </c>
      <c r="U1477" s="15">
        <v>35.7</v>
      </c>
      <c r="V1477" s="15">
        <v>27.9</v>
      </c>
      <c r="W1477" s="15">
        <v>28.18</v>
      </c>
      <c r="X1477" s="15">
        <v>149.0</v>
      </c>
      <c r="Y1477" s="15">
        <v>44.9</v>
      </c>
      <c r="Z1477" s="15">
        <v>55.0</v>
      </c>
      <c r="AA1477" s="15">
        <v>19.9</v>
      </c>
      <c r="AB1477" s="15">
        <v>53.41</v>
      </c>
      <c r="AC1477" s="15">
        <v>30.0</v>
      </c>
      <c r="AD1477" s="15">
        <v>200.0</v>
      </c>
      <c r="AE1477" s="15">
        <v>47.0</v>
      </c>
      <c r="AF1477" s="15">
        <v>5.0</v>
      </c>
      <c r="AG1477" s="15">
        <v>39.9</v>
      </c>
      <c r="AH1477" s="15">
        <v>52.42</v>
      </c>
      <c r="AI1477" s="15">
        <v>39.9</v>
      </c>
      <c r="AJ1477" s="15">
        <v>9.0</v>
      </c>
      <c r="AK1477" s="15">
        <v>19.7</v>
      </c>
      <c r="AL1477" s="15">
        <v>95.8</v>
      </c>
      <c r="AM1477" s="15">
        <v>90.63</v>
      </c>
      <c r="AN1477" s="15">
        <v>20.0</v>
      </c>
      <c r="AO1477" s="15">
        <v>30.0</v>
      </c>
      <c r="AP1477" s="15">
        <v>105.0</v>
      </c>
      <c r="AQ1477" s="15">
        <v>73.66</v>
      </c>
      <c r="AR1477" s="15">
        <v>87.38</v>
      </c>
      <c r="AS1477" s="15">
        <v>83.61</v>
      </c>
      <c r="AT1477" s="15">
        <v>19.12</v>
      </c>
      <c r="AU1477" s="15">
        <v>31.77</v>
      </c>
      <c r="AV1477" s="15">
        <v>12.16</v>
      </c>
      <c r="AW1477" s="15">
        <v>39.9</v>
      </c>
      <c r="AX1477" s="15">
        <v>31.92</v>
      </c>
    </row>
    <row r="1478" ht="15.75" customHeight="1">
      <c r="A1478" s="35" t="s">
        <v>237</v>
      </c>
      <c r="B1478" s="15">
        <v>54.27</v>
      </c>
      <c r="C1478" s="15">
        <v>112.3</v>
      </c>
      <c r="D1478" s="15">
        <v>278.51</v>
      </c>
      <c r="E1478" s="15">
        <v>229.65</v>
      </c>
      <c r="F1478" s="15">
        <v>299.5</v>
      </c>
      <c r="G1478" s="15">
        <v>63.23</v>
      </c>
      <c r="H1478" s="15">
        <v>700.0</v>
      </c>
      <c r="I1478" s="15">
        <v>99.0</v>
      </c>
      <c r="J1478" s="15">
        <v>76.99</v>
      </c>
      <c r="K1478" s="15">
        <v>73.85</v>
      </c>
      <c r="L1478" s="15">
        <v>270.0</v>
      </c>
      <c r="M1478" s="15">
        <v>199.9</v>
      </c>
      <c r="N1478" s="15">
        <v>90.0</v>
      </c>
      <c r="O1478" s="15">
        <v>44.0</v>
      </c>
      <c r="P1478" s="15">
        <v>44.0</v>
      </c>
      <c r="Q1478" s="15">
        <v>72.76</v>
      </c>
      <c r="R1478" s="15">
        <v>109.7</v>
      </c>
      <c r="S1478" s="15">
        <v>22.0</v>
      </c>
      <c r="T1478" s="15">
        <v>39.0</v>
      </c>
      <c r="U1478" s="15">
        <v>89.9</v>
      </c>
      <c r="V1478" s="15">
        <v>37.0</v>
      </c>
      <c r="W1478" s="15">
        <v>79.9</v>
      </c>
      <c r="X1478" s="15">
        <v>63.0</v>
      </c>
      <c r="Y1478" s="15">
        <v>60.0</v>
      </c>
      <c r="Z1478" s="15">
        <v>32.0</v>
      </c>
      <c r="AA1478" s="15">
        <v>115.0</v>
      </c>
      <c r="AB1478" s="15">
        <v>6.0</v>
      </c>
      <c r="AC1478" s="15">
        <v>35.0</v>
      </c>
      <c r="AD1478" s="15">
        <v>20.0</v>
      </c>
      <c r="AE1478" s="15">
        <v>55.0</v>
      </c>
      <c r="AF1478" s="15">
        <v>20.0</v>
      </c>
      <c r="AG1478" s="15">
        <v>44.0</v>
      </c>
      <c r="AH1478" s="15">
        <v>18.0</v>
      </c>
      <c r="AI1478" s="15">
        <v>20.0</v>
      </c>
      <c r="AJ1478" s="15">
        <v>5.5</v>
      </c>
      <c r="AK1478" s="15">
        <v>132.0</v>
      </c>
      <c r="AL1478" s="15">
        <v>40.5</v>
      </c>
      <c r="AM1478" s="15">
        <v>16.94</v>
      </c>
      <c r="AN1478" s="15">
        <v>46.2</v>
      </c>
      <c r="AO1478" s="15">
        <v>11.91</v>
      </c>
      <c r="AP1478" s="15">
        <v>454.07</v>
      </c>
      <c r="AQ1478" s="15">
        <v>37.0</v>
      </c>
      <c r="AR1478" s="15">
        <v>37.0</v>
      </c>
      <c r="AS1478" s="15">
        <v>70.44</v>
      </c>
      <c r="AT1478" s="15">
        <v>10.0</v>
      </c>
      <c r="AU1478" s="15">
        <v>7.93</v>
      </c>
      <c r="AV1478" s="15">
        <v>104.9</v>
      </c>
      <c r="AW1478" s="15">
        <v>143.22</v>
      </c>
      <c r="AX1478" s="15">
        <v>496.42</v>
      </c>
      <c r="AY1478" s="15">
        <v>400.0</v>
      </c>
      <c r="AZ1478" s="15">
        <v>117.0</v>
      </c>
      <c r="BA1478" s="15">
        <v>57.7</v>
      </c>
      <c r="BB1478" s="15">
        <v>460.0</v>
      </c>
      <c r="BC1478" s="15">
        <v>87.8</v>
      </c>
      <c r="BD1478" s="15">
        <v>166.4</v>
      </c>
      <c r="BE1478" s="15">
        <v>67.5</v>
      </c>
      <c r="BF1478" s="15">
        <v>25.29</v>
      </c>
      <c r="BG1478" s="15">
        <v>46.07</v>
      </c>
      <c r="BH1478" s="15">
        <v>72.6</v>
      </c>
      <c r="BI1478" s="15">
        <v>70.0</v>
      </c>
      <c r="BJ1478" s="15">
        <v>82.84</v>
      </c>
      <c r="BK1478" s="15">
        <v>97.0</v>
      </c>
      <c r="BL1478" s="15">
        <v>42.95</v>
      </c>
      <c r="BM1478" s="15">
        <v>67.33</v>
      </c>
      <c r="BN1478" s="15">
        <v>49.68</v>
      </c>
      <c r="BO1478" s="15">
        <v>230.89</v>
      </c>
      <c r="BP1478" s="15">
        <v>34.0</v>
      </c>
      <c r="BQ1478" s="15">
        <v>106.0</v>
      </c>
      <c r="BR1478" s="15">
        <v>250.0</v>
      </c>
      <c r="BS1478" s="15">
        <v>50.0</v>
      </c>
      <c r="BT1478" s="15">
        <v>68.31</v>
      </c>
      <c r="BU1478" s="15">
        <v>25.94</v>
      </c>
      <c r="BV1478" s="15">
        <v>59.9</v>
      </c>
    </row>
    <row r="1479" ht="15.75" customHeight="1">
      <c r="A1479" s="55" t="s">
        <v>47</v>
      </c>
      <c r="B1479" s="56">
        <v>236.39</v>
      </c>
      <c r="C1479" s="15">
        <v>120.0</v>
      </c>
    </row>
    <row r="1480" ht="15.75" customHeight="1">
      <c r="A1480" s="35" t="s">
        <v>212</v>
      </c>
      <c r="B1480" s="57">
        <v>57.0</v>
      </c>
      <c r="D1480" s="19" t="s">
        <v>257</v>
      </c>
      <c r="E1480" s="15">
        <v>1000.0</v>
      </c>
    </row>
    <row r="1481" ht="15.75" customHeight="1">
      <c r="A1481" s="35" t="s">
        <v>108</v>
      </c>
      <c r="B1481" s="57">
        <v>600.0</v>
      </c>
    </row>
    <row r="1482" ht="15.75" customHeight="1">
      <c r="A1482" s="35" t="s">
        <v>88</v>
      </c>
      <c r="B1482" s="57">
        <v>79.31</v>
      </c>
    </row>
    <row r="1483" ht="15.75" customHeight="1">
      <c r="A1483" s="35" t="s">
        <v>109</v>
      </c>
      <c r="B1483" s="57">
        <v>117.2</v>
      </c>
    </row>
    <row r="1484" ht="15.75" customHeight="1">
      <c r="A1484" s="35" t="s">
        <v>83</v>
      </c>
      <c r="B1484" s="15">
        <v>48.02</v>
      </c>
    </row>
    <row r="1485" ht="15.75" customHeight="1">
      <c r="A1485" s="35"/>
      <c r="B1485" s="37"/>
    </row>
    <row r="1486" ht="15.75" customHeight="1">
      <c r="A1486" s="35" t="s">
        <v>1</v>
      </c>
      <c r="B1486" s="35">
        <f>SUM(B1477:DI1485)</f>
        <v>18503.68</v>
      </c>
    </row>
    <row r="1487" ht="15.75" customHeight="1"/>
    <row r="1488" ht="15.75" customHeight="1">
      <c r="A1488" s="54">
        <v>45444.0</v>
      </c>
      <c r="B1488" s="35"/>
      <c r="I1488" s="19" t="s">
        <v>51</v>
      </c>
    </row>
    <row r="1489" ht="15.75" customHeight="1">
      <c r="A1489" s="35" t="s">
        <v>249</v>
      </c>
      <c r="B1489" s="15">
        <v>30.91</v>
      </c>
      <c r="C1489" s="15">
        <v>44.49</v>
      </c>
      <c r="D1489" s="15">
        <v>65.06</v>
      </c>
      <c r="E1489" s="15">
        <v>295.0</v>
      </c>
      <c r="F1489" s="15">
        <v>340.0</v>
      </c>
      <c r="G1489" s="15">
        <v>835.9</v>
      </c>
      <c r="H1489" s="15">
        <v>79.5</v>
      </c>
      <c r="I1489" s="15">
        <v>88.66</v>
      </c>
      <c r="J1489" s="15">
        <v>102.67</v>
      </c>
      <c r="K1489" s="15">
        <v>123.99</v>
      </c>
      <c r="L1489" s="15">
        <v>941.79</v>
      </c>
      <c r="M1489" s="15">
        <v>941.79</v>
      </c>
      <c r="N1489" s="15">
        <v>500.0</v>
      </c>
      <c r="O1489" s="15">
        <v>30.0</v>
      </c>
      <c r="P1489" s="15">
        <v>78.0</v>
      </c>
      <c r="Q1489" s="15">
        <v>4.9</v>
      </c>
      <c r="R1489" s="15">
        <v>146.52</v>
      </c>
      <c r="S1489" s="15">
        <v>34.4</v>
      </c>
      <c r="T1489" s="15">
        <v>27.9</v>
      </c>
      <c r="U1489" s="15">
        <v>30.41</v>
      </c>
      <c r="V1489" s="15">
        <v>44.9</v>
      </c>
      <c r="W1489" s="15">
        <v>18.34</v>
      </c>
      <c r="X1489" s="15">
        <v>45.0</v>
      </c>
      <c r="Y1489" s="15">
        <v>36.0</v>
      </c>
      <c r="Z1489" s="15">
        <v>48.9</v>
      </c>
      <c r="AA1489" s="15">
        <v>23.99</v>
      </c>
      <c r="AB1489" s="15">
        <v>38.9</v>
      </c>
      <c r="AC1489" s="15">
        <v>37.99</v>
      </c>
      <c r="AD1489" s="15">
        <v>81.2</v>
      </c>
      <c r="AE1489" s="15">
        <v>37.0</v>
      </c>
      <c r="AF1489" s="15">
        <v>70.0</v>
      </c>
      <c r="AG1489" s="15">
        <v>84.0</v>
      </c>
      <c r="AH1489" s="15">
        <v>70.1</v>
      </c>
      <c r="AI1489" s="15">
        <v>473.47</v>
      </c>
      <c r="AJ1489" s="15">
        <v>407.93</v>
      </c>
      <c r="AK1489" s="15">
        <v>686.77</v>
      </c>
      <c r="AL1489" s="15">
        <v>126.01</v>
      </c>
      <c r="AM1489" s="15">
        <v>39.9</v>
      </c>
      <c r="AN1489" s="15">
        <v>40.0</v>
      </c>
      <c r="AO1489" s="15">
        <v>49.0</v>
      </c>
      <c r="AP1489" s="15">
        <v>28.9</v>
      </c>
      <c r="AQ1489" s="15">
        <v>63.24</v>
      </c>
      <c r="AR1489" s="15">
        <v>122.0</v>
      </c>
      <c r="AS1489" s="15">
        <v>36.0</v>
      </c>
      <c r="AT1489" s="15">
        <v>117.0</v>
      </c>
      <c r="AU1489" s="15">
        <v>321.0</v>
      </c>
      <c r="AV1489" s="15">
        <v>12.77</v>
      </c>
      <c r="AW1489" s="15">
        <v>37.88</v>
      </c>
      <c r="AX1489" s="15">
        <v>50.0</v>
      </c>
      <c r="AY1489" s="15">
        <v>150.0</v>
      </c>
      <c r="AZ1489" s="15">
        <v>19.9</v>
      </c>
      <c r="BA1489" s="15">
        <v>25.44</v>
      </c>
      <c r="BB1489" s="15">
        <v>169.0</v>
      </c>
      <c r="BC1489" s="15">
        <v>150.0</v>
      </c>
      <c r="BD1489" s="15">
        <v>504.24</v>
      </c>
      <c r="BE1489" s="15">
        <v>965.3</v>
      </c>
      <c r="BF1489" s="15">
        <v>55.0</v>
      </c>
      <c r="BG1489" s="15">
        <v>33.0</v>
      </c>
      <c r="BH1489" s="15">
        <v>30.0</v>
      </c>
      <c r="BI1489" s="15">
        <v>54.0</v>
      </c>
      <c r="BJ1489" s="15">
        <v>15.0</v>
      </c>
      <c r="BK1489" s="15">
        <v>100.4</v>
      </c>
      <c r="BL1489" s="15">
        <v>138.0</v>
      </c>
      <c r="BM1489" s="15">
        <v>73.0</v>
      </c>
      <c r="BN1489" s="15">
        <v>67.26</v>
      </c>
      <c r="BO1489" s="15">
        <v>47.88</v>
      </c>
      <c r="BP1489" s="15">
        <v>21.76</v>
      </c>
      <c r="BQ1489" s="15">
        <v>14.0</v>
      </c>
      <c r="BR1489" s="15">
        <v>37.0</v>
      </c>
      <c r="BS1489" s="15">
        <v>10.0</v>
      </c>
      <c r="BT1489" s="15">
        <v>112.0</v>
      </c>
      <c r="BU1489" s="15">
        <v>8.5</v>
      </c>
      <c r="BV1489" s="15">
        <v>21.67</v>
      </c>
      <c r="BW1489" s="15">
        <v>52.04</v>
      </c>
      <c r="BX1489" s="15">
        <v>68.0</v>
      </c>
      <c r="BY1489" s="15">
        <v>91.96</v>
      </c>
      <c r="BZ1489" s="15">
        <v>63.93</v>
      </c>
      <c r="CA1489" s="15">
        <v>230.0</v>
      </c>
      <c r="CB1489" s="15">
        <v>56.87</v>
      </c>
      <c r="CC1489" s="15">
        <v>76.0</v>
      </c>
      <c r="CD1489" s="15">
        <v>101.0</v>
      </c>
      <c r="CE1489" s="15">
        <v>51.2</v>
      </c>
      <c r="CF1489" s="15">
        <v>12.0</v>
      </c>
      <c r="CG1489" s="15">
        <v>12.32</v>
      </c>
      <c r="CH1489" s="15">
        <v>114.0</v>
      </c>
      <c r="CI1489" s="15">
        <v>53.0</v>
      </c>
      <c r="CJ1489" s="15">
        <v>17.47</v>
      </c>
    </row>
    <row r="1490" ht="15.75" customHeight="1">
      <c r="A1490" s="35" t="s">
        <v>237</v>
      </c>
      <c r="B1490" s="15">
        <v>54.27</v>
      </c>
      <c r="C1490" s="15">
        <v>112.3</v>
      </c>
      <c r="D1490" s="15">
        <v>229.65</v>
      </c>
      <c r="E1490" s="15">
        <v>63.23</v>
      </c>
      <c r="F1490" s="15">
        <v>700.0</v>
      </c>
      <c r="G1490" s="15">
        <v>99.0</v>
      </c>
      <c r="H1490" s="15">
        <v>199.9</v>
      </c>
      <c r="I1490" s="15">
        <v>89.9</v>
      </c>
      <c r="J1490" s="15">
        <v>496.33</v>
      </c>
      <c r="K1490" s="15">
        <v>67.5</v>
      </c>
      <c r="L1490" s="15">
        <v>106.0</v>
      </c>
      <c r="M1490" s="15">
        <v>707.25</v>
      </c>
      <c r="N1490" s="15">
        <v>47.5</v>
      </c>
      <c r="O1490" s="15">
        <v>70.33</v>
      </c>
      <c r="P1490" s="15">
        <v>160.0</v>
      </c>
      <c r="Q1490" s="15">
        <v>124.0</v>
      </c>
      <c r="R1490" s="15">
        <v>234.26</v>
      </c>
      <c r="S1490" s="15">
        <v>19.9</v>
      </c>
      <c r="T1490" s="15">
        <v>125.96</v>
      </c>
      <c r="U1490" s="15">
        <v>634.06</v>
      </c>
      <c r="V1490" s="15">
        <v>65.55</v>
      </c>
      <c r="W1490" s="15">
        <v>115.24</v>
      </c>
      <c r="X1490" s="15">
        <v>106.0</v>
      </c>
      <c r="Y1490" s="15">
        <v>50.0</v>
      </c>
      <c r="Z1490" s="15">
        <v>168.0</v>
      </c>
      <c r="AA1490" s="15">
        <v>500.0</v>
      </c>
      <c r="AB1490" s="15">
        <v>36.77</v>
      </c>
      <c r="AC1490" s="15">
        <v>36.95</v>
      </c>
      <c r="AD1490" s="15">
        <v>59.9</v>
      </c>
      <c r="AE1490" s="15">
        <v>16.32</v>
      </c>
      <c r="AF1490" s="15">
        <v>200.0</v>
      </c>
      <c r="AG1490" s="15">
        <v>17.0</v>
      </c>
      <c r="AH1490" s="15">
        <v>24.0</v>
      </c>
      <c r="AI1490" s="15">
        <v>219.62</v>
      </c>
      <c r="AJ1490" s="15">
        <v>324.45</v>
      </c>
    </row>
    <row r="1491" ht="15.75" customHeight="1">
      <c r="A1491" s="55" t="s">
        <v>47</v>
      </c>
      <c r="B1491" s="56">
        <v>236.39</v>
      </c>
      <c r="C1491" s="15">
        <v>120.0</v>
      </c>
    </row>
    <row r="1492" ht="15.75" customHeight="1">
      <c r="A1492" s="35" t="s">
        <v>212</v>
      </c>
      <c r="B1492" s="57">
        <v>56.7</v>
      </c>
    </row>
    <row r="1493" ht="15.75" customHeight="1">
      <c r="A1493" s="35" t="s">
        <v>108</v>
      </c>
      <c r="B1493" s="57">
        <v>130.0</v>
      </c>
    </row>
    <row r="1494" ht="15.75" customHeight="1">
      <c r="A1494" s="35" t="s">
        <v>88</v>
      </c>
      <c r="B1494" s="57">
        <v>96.36</v>
      </c>
    </row>
    <row r="1495" ht="15.75" customHeight="1">
      <c r="A1495" s="35" t="s">
        <v>109</v>
      </c>
      <c r="B1495" s="57">
        <v>141.03</v>
      </c>
    </row>
    <row r="1496" ht="15.75" customHeight="1">
      <c r="A1496" s="35" t="s">
        <v>83</v>
      </c>
      <c r="B1496" s="15">
        <v>48.02</v>
      </c>
    </row>
    <row r="1497" ht="15.75" customHeight="1">
      <c r="A1497" s="55" t="s">
        <v>252</v>
      </c>
      <c r="B1497" s="36">
        <v>207.83</v>
      </c>
      <c r="C1497" s="36">
        <v>207.83</v>
      </c>
      <c r="D1497" s="36">
        <v>207.83</v>
      </c>
    </row>
    <row r="1498" ht="15.75" customHeight="1">
      <c r="A1498" s="35" t="s">
        <v>1</v>
      </c>
      <c r="B1498" s="35">
        <f>SUM(B1489:DI1497)</f>
        <v>19545.35</v>
      </c>
    </row>
    <row r="1499" ht="15.75" customHeight="1"/>
    <row r="1500" ht="15.75" customHeight="1">
      <c r="A1500" s="54">
        <v>45474.0</v>
      </c>
      <c r="B1500" s="35"/>
    </row>
    <row r="1501" ht="15.75" customHeight="1">
      <c r="A1501" s="35" t="s">
        <v>249</v>
      </c>
      <c r="B1501" s="15">
        <v>295.0</v>
      </c>
      <c r="C1501" s="15">
        <v>340.0</v>
      </c>
      <c r="D1501" s="15">
        <v>835.96</v>
      </c>
      <c r="E1501" s="15">
        <v>102.62</v>
      </c>
      <c r="F1501" s="15">
        <v>123.99</v>
      </c>
      <c r="G1501" s="15">
        <v>941.79</v>
      </c>
      <c r="H1501" s="15">
        <v>941.79</v>
      </c>
      <c r="I1501" s="15">
        <v>500.0</v>
      </c>
      <c r="J1501" s="15">
        <v>146.52</v>
      </c>
      <c r="K1501" s="15">
        <v>38.9</v>
      </c>
      <c r="L1501" s="15">
        <v>81.17</v>
      </c>
      <c r="M1501" s="15">
        <v>125.99</v>
      </c>
      <c r="N1501" s="15">
        <v>63.23</v>
      </c>
      <c r="O1501" s="15">
        <v>52.04</v>
      </c>
      <c r="P1501" s="15">
        <v>70.07</v>
      </c>
      <c r="Q1501" s="15">
        <v>39.45</v>
      </c>
      <c r="R1501" s="15">
        <v>64.95</v>
      </c>
      <c r="S1501" s="15">
        <v>600.0</v>
      </c>
      <c r="T1501" s="15">
        <v>44.9</v>
      </c>
      <c r="U1501" s="15">
        <v>4.9</v>
      </c>
      <c r="V1501" s="15">
        <v>352.39</v>
      </c>
      <c r="W1501" s="15">
        <v>35.99</v>
      </c>
      <c r="X1501" s="15">
        <v>7.26</v>
      </c>
      <c r="Y1501" s="15">
        <v>27.9</v>
      </c>
      <c r="Z1501" s="15">
        <v>16.99</v>
      </c>
      <c r="AA1501" s="15">
        <v>39.0</v>
      </c>
      <c r="AB1501" s="15">
        <v>39.8</v>
      </c>
      <c r="AC1501" s="15">
        <v>69.0</v>
      </c>
      <c r="AD1501" s="15">
        <v>77.24</v>
      </c>
      <c r="AE1501" s="15">
        <v>33.51</v>
      </c>
      <c r="AF1501" s="15">
        <v>24.45</v>
      </c>
      <c r="AG1501" s="15">
        <v>460.0</v>
      </c>
      <c r="AH1501" s="15">
        <v>49.95</v>
      </c>
      <c r="AI1501" s="15">
        <v>30.42</v>
      </c>
      <c r="AJ1501" s="15">
        <v>100.0</v>
      </c>
      <c r="AK1501" s="15">
        <v>24.0</v>
      </c>
      <c r="AL1501" s="15">
        <v>38.4</v>
      </c>
      <c r="AM1501" s="15">
        <v>236.77</v>
      </c>
      <c r="AN1501" s="15">
        <v>194.5</v>
      </c>
      <c r="AO1501" s="15">
        <v>7.07</v>
      </c>
      <c r="AP1501" s="15">
        <v>10.99</v>
      </c>
      <c r="AQ1501" s="15">
        <v>63.0</v>
      </c>
      <c r="AR1501" s="15">
        <v>39.9</v>
      </c>
      <c r="AS1501" s="15">
        <v>200.0</v>
      </c>
      <c r="AT1501" s="15">
        <v>25.02</v>
      </c>
      <c r="AU1501" s="15">
        <v>16.0</v>
      </c>
      <c r="AV1501" s="15">
        <v>49.0</v>
      </c>
      <c r="AW1501" s="15">
        <v>18.0</v>
      </c>
      <c r="AX1501" s="15">
        <v>18.0</v>
      </c>
      <c r="AY1501" s="15">
        <v>35.0</v>
      </c>
      <c r="AZ1501" s="15">
        <v>16.0</v>
      </c>
      <c r="BA1501" s="15">
        <v>25.44</v>
      </c>
      <c r="BB1501" s="15">
        <v>135.5</v>
      </c>
      <c r="BC1501" s="15">
        <v>208.25</v>
      </c>
      <c r="BD1501" s="15">
        <v>208.25</v>
      </c>
      <c r="BE1501" s="15">
        <v>7.29</v>
      </c>
      <c r="BF1501" s="15">
        <v>44.48</v>
      </c>
      <c r="BG1501" s="15">
        <v>224.0</v>
      </c>
      <c r="BH1501" s="15">
        <v>62.65</v>
      </c>
      <c r="BI1501" s="15">
        <v>32.8</v>
      </c>
      <c r="BJ1501" s="15">
        <v>140.0</v>
      </c>
      <c r="BK1501" s="15">
        <v>39.0</v>
      </c>
      <c r="BL1501" s="15">
        <v>39.0</v>
      </c>
      <c r="BM1501" s="15">
        <v>74.0</v>
      </c>
      <c r="BN1501" s="15">
        <v>221.0</v>
      </c>
      <c r="BO1501" s="15">
        <v>57.68</v>
      </c>
      <c r="BP1501" s="15">
        <v>97.16</v>
      </c>
      <c r="BQ1501" s="15">
        <v>13.9</v>
      </c>
      <c r="BR1501" s="15">
        <v>85.75</v>
      </c>
      <c r="BS1501" s="15">
        <v>36.46</v>
      </c>
      <c r="BT1501" s="15">
        <v>88.03</v>
      </c>
      <c r="BU1501" s="15">
        <v>10.64</v>
      </c>
      <c r="BV1501" s="15">
        <v>105.45</v>
      </c>
      <c r="BW1501" s="15">
        <v>226.27</v>
      </c>
      <c r="BX1501" s="15">
        <v>54.98</v>
      </c>
      <c r="BY1501" s="15">
        <v>96.3</v>
      </c>
      <c r="BZ1501" s="15">
        <v>67.53</v>
      </c>
      <c r="CA1501" s="15">
        <v>391.51</v>
      </c>
      <c r="CB1501" s="15">
        <v>17.0</v>
      </c>
      <c r="CC1501" s="15">
        <v>25.0</v>
      </c>
      <c r="CD1501" s="15">
        <v>20.0</v>
      </c>
      <c r="CE1501" s="15">
        <v>18.0</v>
      </c>
      <c r="CF1501" s="15">
        <v>18.0</v>
      </c>
      <c r="CG1501" s="15">
        <v>16.0</v>
      </c>
      <c r="CH1501" s="15">
        <v>18.0</v>
      </c>
      <c r="CI1501" s="15">
        <v>18.0</v>
      </c>
    </row>
    <row r="1502" ht="15.75" customHeight="1">
      <c r="A1502" s="35" t="s">
        <v>237</v>
      </c>
      <c r="B1502" s="15">
        <v>54.27</v>
      </c>
      <c r="C1502" s="15">
        <v>229.69</v>
      </c>
      <c r="D1502" s="15">
        <v>700.0</v>
      </c>
      <c r="E1502" s="15">
        <v>99.0</v>
      </c>
      <c r="F1502" s="15">
        <v>199.9</v>
      </c>
      <c r="G1502" s="15">
        <v>496.42</v>
      </c>
      <c r="H1502" s="15">
        <v>65.49</v>
      </c>
      <c r="I1502" s="15">
        <v>59.9</v>
      </c>
    </row>
    <row r="1503" ht="15.75" customHeight="1">
      <c r="A1503" s="55" t="s">
        <v>47</v>
      </c>
      <c r="B1503" s="56">
        <v>236.39</v>
      </c>
    </row>
    <row r="1504" ht="15.75" customHeight="1">
      <c r="A1504" s="35" t="s">
        <v>212</v>
      </c>
      <c r="B1504" s="57">
        <v>61.0</v>
      </c>
    </row>
    <row r="1505" ht="15.75" customHeight="1">
      <c r="A1505" s="35" t="s">
        <v>108</v>
      </c>
      <c r="B1505" s="57">
        <v>100.0</v>
      </c>
    </row>
    <row r="1506" ht="15.75" customHeight="1">
      <c r="A1506" s="55" t="s">
        <v>88</v>
      </c>
      <c r="B1506" s="57">
        <v>80.65</v>
      </c>
    </row>
    <row r="1507" ht="15.75" customHeight="1">
      <c r="A1507" s="35" t="s">
        <v>109</v>
      </c>
      <c r="B1507" s="57">
        <v>123.42</v>
      </c>
    </row>
    <row r="1508" ht="15.75" customHeight="1">
      <c r="A1508" s="35" t="s">
        <v>83</v>
      </c>
      <c r="B1508" s="15">
        <v>48.02</v>
      </c>
    </row>
    <row r="1509" ht="15.75" customHeight="1"/>
    <row r="1510" ht="15.75" customHeight="1">
      <c r="A1510" s="35" t="s">
        <v>1</v>
      </c>
      <c r="B1510" s="35"/>
    </row>
    <row r="1511" ht="15.75" customHeight="1"/>
    <row r="1512" ht="15.75" customHeight="1">
      <c r="A1512" s="18">
        <v>45870.0</v>
      </c>
      <c r="U1512" s="16"/>
      <c r="V1512" s="16"/>
      <c r="W1512" s="16"/>
      <c r="X1512" s="16"/>
      <c r="Y1512" s="16"/>
    </row>
    <row r="1513" ht="15.75" customHeight="1">
      <c r="A1513" s="35" t="s">
        <v>249</v>
      </c>
      <c r="B1513" s="15">
        <v>340.0</v>
      </c>
      <c r="C1513" s="15">
        <v>835.96</v>
      </c>
      <c r="D1513" s="15">
        <v>941.79</v>
      </c>
      <c r="E1513" s="15">
        <v>941.79</v>
      </c>
      <c r="F1513" s="15">
        <v>500.0</v>
      </c>
      <c r="G1513" s="15">
        <v>38.9</v>
      </c>
      <c r="H1513" s="15">
        <v>81.17</v>
      </c>
      <c r="I1513" s="15">
        <v>125.99</v>
      </c>
      <c r="J1513" s="15">
        <v>63.23</v>
      </c>
      <c r="K1513" s="15">
        <v>52.04</v>
      </c>
      <c r="L1513" s="15">
        <v>70.07</v>
      </c>
      <c r="M1513" s="15">
        <v>77.23</v>
      </c>
      <c r="N1513" s="15">
        <v>49.95</v>
      </c>
      <c r="O1513" s="15">
        <v>194.5</v>
      </c>
      <c r="P1513" s="15">
        <v>77.4</v>
      </c>
      <c r="Q1513" s="15">
        <v>100.3</v>
      </c>
      <c r="R1513" s="15">
        <v>72.26</v>
      </c>
      <c r="S1513" s="15">
        <v>39.4</v>
      </c>
      <c r="T1513" s="15">
        <v>69.9</v>
      </c>
      <c r="U1513" s="15">
        <v>340.33</v>
      </c>
      <c r="V1513" s="15">
        <v>87.22</v>
      </c>
      <c r="W1513" s="15">
        <v>79.16</v>
      </c>
      <c r="X1513" s="15">
        <v>10.0</v>
      </c>
      <c r="Y1513" s="15">
        <v>154.18</v>
      </c>
      <c r="Z1513" s="15">
        <v>6.99</v>
      </c>
      <c r="AA1513" s="15">
        <v>125.32</v>
      </c>
      <c r="AB1513" s="15">
        <v>5.9</v>
      </c>
      <c r="AC1513" s="15">
        <v>27.9</v>
      </c>
      <c r="AD1513" s="15">
        <v>55.54</v>
      </c>
      <c r="AE1513" s="15">
        <v>181.22</v>
      </c>
      <c r="AF1513" s="15">
        <v>19.0</v>
      </c>
      <c r="AG1513" s="15">
        <v>19.9</v>
      </c>
      <c r="AH1513" s="15">
        <v>52.0</v>
      </c>
      <c r="AI1513" s="15">
        <v>68.0</v>
      </c>
      <c r="AJ1513" s="15">
        <v>44.9</v>
      </c>
      <c r="AK1513" s="15">
        <v>35.99</v>
      </c>
      <c r="AL1513" s="15">
        <v>32.5</v>
      </c>
      <c r="AM1513" s="15">
        <v>13.0</v>
      </c>
      <c r="AN1513" s="15">
        <v>500.0</v>
      </c>
      <c r="AO1513" s="15">
        <v>29.85</v>
      </c>
      <c r="AP1513" s="15">
        <v>300.0</v>
      </c>
      <c r="AQ1513" s="15">
        <v>52.92</v>
      </c>
      <c r="AR1513" s="15">
        <v>39.9</v>
      </c>
      <c r="AS1513" s="15">
        <v>460.0</v>
      </c>
      <c r="AT1513" s="15">
        <v>19.9</v>
      </c>
      <c r="AU1513" s="15">
        <v>47.75</v>
      </c>
      <c r="AV1513" s="15">
        <v>200.0</v>
      </c>
      <c r="AW1513" s="15">
        <v>36.2</v>
      </c>
      <c r="AX1513" s="15">
        <v>98.88</v>
      </c>
      <c r="AY1513" s="15">
        <v>69.0</v>
      </c>
      <c r="AZ1513" s="15">
        <v>50.95</v>
      </c>
      <c r="BA1513" s="15">
        <v>8.5</v>
      </c>
      <c r="BB1513" s="15">
        <v>60.71</v>
      </c>
      <c r="BC1513" s="15">
        <v>68.9</v>
      </c>
      <c r="BD1513" s="15">
        <v>117.0</v>
      </c>
      <c r="BE1513" s="15">
        <v>236.0</v>
      </c>
      <c r="BF1513" s="15">
        <v>15.93</v>
      </c>
      <c r="BG1513" s="15">
        <v>19.9</v>
      </c>
      <c r="BH1513" s="15">
        <v>86.27</v>
      </c>
      <c r="BI1513" s="15">
        <v>79.8</v>
      </c>
      <c r="BJ1513" s="15">
        <v>7.0</v>
      </c>
      <c r="BK1513" s="15">
        <v>145.34</v>
      </c>
      <c r="BL1513" s="15">
        <v>109.98</v>
      </c>
      <c r="BM1513" s="15">
        <v>52.0</v>
      </c>
      <c r="BN1513" s="15">
        <v>45.0</v>
      </c>
      <c r="BO1513" s="15">
        <v>72.27</v>
      </c>
      <c r="BP1513" s="15">
        <v>30.59</v>
      </c>
      <c r="BQ1513" s="15">
        <v>80.0</v>
      </c>
      <c r="BR1513" s="15">
        <v>43.87</v>
      </c>
      <c r="BS1513" s="15">
        <v>52.0</v>
      </c>
      <c r="BT1513" s="15">
        <v>102.98</v>
      </c>
      <c r="BU1513" s="15">
        <v>43.74</v>
      </c>
      <c r="BV1513" s="15">
        <v>88.33</v>
      </c>
      <c r="BW1513" s="15">
        <v>14.0</v>
      </c>
      <c r="BX1513" s="15">
        <v>12.0</v>
      </c>
      <c r="BY1513" s="15">
        <v>52.0</v>
      </c>
      <c r="BZ1513" s="15">
        <v>26.0</v>
      </c>
    </row>
    <row r="1514" ht="15.75" customHeight="1">
      <c r="A1514" s="35" t="s">
        <v>237</v>
      </c>
      <c r="B1514" s="15">
        <v>54.29</v>
      </c>
      <c r="C1514" s="15">
        <v>229.65</v>
      </c>
      <c r="D1514" s="15">
        <v>700.0</v>
      </c>
      <c r="E1514" s="15">
        <v>99.0</v>
      </c>
      <c r="F1514" s="15">
        <v>199.9</v>
      </c>
      <c r="G1514" s="15">
        <v>496.33</v>
      </c>
      <c r="H1514" s="15">
        <v>65.49</v>
      </c>
      <c r="I1514" s="15">
        <v>136.0</v>
      </c>
      <c r="J1514" s="15">
        <v>36.5</v>
      </c>
      <c r="K1514" s="15">
        <v>175.42</v>
      </c>
      <c r="L1514" s="15">
        <v>306.28</v>
      </c>
      <c r="M1514" s="15">
        <v>263.73</v>
      </c>
      <c r="N1514" s="15">
        <v>88.5</v>
      </c>
      <c r="O1514" s="15">
        <v>115.85</v>
      </c>
      <c r="P1514" s="15">
        <v>19.9</v>
      </c>
      <c r="Q1514" s="15">
        <v>148.34</v>
      </c>
      <c r="R1514" s="15">
        <v>35.09</v>
      </c>
      <c r="S1514" s="15">
        <v>89.47</v>
      </c>
      <c r="T1514" s="15">
        <v>92.0</v>
      </c>
      <c r="U1514" s="15">
        <v>99.68</v>
      </c>
    </row>
    <row r="1515" ht="15.75" customHeight="1">
      <c r="A1515" s="55" t="s">
        <v>47</v>
      </c>
      <c r="B1515" s="56">
        <v>236.39</v>
      </c>
    </row>
    <row r="1516" ht="15.75" customHeight="1">
      <c r="A1516" s="35" t="s">
        <v>212</v>
      </c>
      <c r="B1516" s="57">
        <v>61.0</v>
      </c>
    </row>
    <row r="1517" ht="15.75" customHeight="1">
      <c r="A1517" s="55" t="s">
        <v>115</v>
      </c>
      <c r="B1517" s="57">
        <v>815.96</v>
      </c>
    </row>
    <row r="1518" ht="15.75" customHeight="1">
      <c r="A1518" s="55" t="s">
        <v>258</v>
      </c>
      <c r="B1518" s="57">
        <v>3150.0</v>
      </c>
    </row>
    <row r="1519" ht="15.75" customHeight="1">
      <c r="A1519" s="55" t="s">
        <v>259</v>
      </c>
      <c r="B1519" s="57">
        <v>500.0</v>
      </c>
    </row>
    <row r="1520" ht="15.75" customHeight="1">
      <c r="A1520" s="55" t="s">
        <v>260</v>
      </c>
      <c r="B1520" s="57">
        <v>50.0</v>
      </c>
    </row>
    <row r="1521" ht="15.75" customHeight="1">
      <c r="A1521" s="35" t="s">
        <v>88</v>
      </c>
      <c r="B1521" s="57">
        <v>110.42</v>
      </c>
    </row>
    <row r="1522" ht="15.75" customHeight="1">
      <c r="A1522" s="35" t="s">
        <v>109</v>
      </c>
      <c r="B1522" s="57">
        <v>123.42</v>
      </c>
    </row>
    <row r="1523" ht="15.75" customHeight="1">
      <c r="A1523" s="35" t="s">
        <v>83</v>
      </c>
      <c r="B1523" s="15">
        <v>48.02</v>
      </c>
    </row>
    <row r="1524" ht="15.75" customHeight="1">
      <c r="A1524" s="55" t="s">
        <v>118</v>
      </c>
      <c r="B1524" s="57">
        <v>149.37</v>
      </c>
    </row>
    <row r="1525" ht="15.75" customHeight="1">
      <c r="A1525" s="35" t="s">
        <v>1</v>
      </c>
      <c r="B1525" s="2">
        <f>SUM(B1513:BZ1524)</f>
        <v>18302.39</v>
      </c>
    </row>
    <row r="1526" ht="15.75" customHeight="1"/>
    <row r="1527" ht="15.75" customHeight="1">
      <c r="A1527" s="18">
        <v>45901.0</v>
      </c>
    </row>
    <row r="1528" ht="15.75" customHeight="1">
      <c r="A1528" s="35" t="s">
        <v>249</v>
      </c>
      <c r="B1528" s="15">
        <v>340.0</v>
      </c>
      <c r="C1528" s="15">
        <v>835.96</v>
      </c>
      <c r="D1528" s="15">
        <v>500.0</v>
      </c>
      <c r="E1528" s="15">
        <v>81.17</v>
      </c>
      <c r="F1528" s="15">
        <v>70.07</v>
      </c>
      <c r="G1528" s="15">
        <v>77.23</v>
      </c>
      <c r="H1528" s="15">
        <v>77.4</v>
      </c>
      <c r="I1528" s="15">
        <v>100.3</v>
      </c>
      <c r="K1528" s="15">
        <v>69.9</v>
      </c>
      <c r="L1528" s="15">
        <v>87.22</v>
      </c>
      <c r="M1528" s="15">
        <v>79.15</v>
      </c>
      <c r="N1528" s="15">
        <v>74.94</v>
      </c>
      <c r="O1528" s="15">
        <v>49.14</v>
      </c>
      <c r="P1528" s="15">
        <v>69.9</v>
      </c>
      <c r="Q1528" s="15">
        <v>300.0</v>
      </c>
      <c r="R1528" s="15">
        <v>238.6</v>
      </c>
      <c r="S1528" s="15">
        <v>420.0</v>
      </c>
      <c r="T1528" s="15">
        <v>99.79</v>
      </c>
      <c r="U1528" s="15">
        <v>81.0</v>
      </c>
      <c r="V1528" s="15">
        <v>81.27</v>
      </c>
      <c r="W1528" s="15">
        <v>200.0</v>
      </c>
      <c r="X1528" s="15">
        <v>202.0</v>
      </c>
      <c r="Y1528" s="15">
        <v>39.9</v>
      </c>
      <c r="Z1528" s="15">
        <v>460.0</v>
      </c>
      <c r="AA1528" s="15">
        <v>145.0</v>
      </c>
      <c r="AB1528" s="15">
        <v>74.75</v>
      </c>
      <c r="AC1528" s="15">
        <v>50.02</v>
      </c>
      <c r="AD1528" s="15">
        <v>6.5</v>
      </c>
      <c r="AE1528" s="15">
        <v>148.0</v>
      </c>
      <c r="AF1528" s="15">
        <v>91.98</v>
      </c>
      <c r="AG1528" s="15">
        <v>82.32</v>
      </c>
      <c r="AH1528" s="15">
        <v>33.0</v>
      </c>
      <c r="AI1528" s="15">
        <v>35.0</v>
      </c>
      <c r="AJ1528" s="15">
        <v>50.0</v>
      </c>
      <c r="AK1528" s="15">
        <v>166.0</v>
      </c>
      <c r="AL1528" s="15">
        <v>100.0</v>
      </c>
      <c r="AM1528" s="15">
        <v>19.9</v>
      </c>
      <c r="AN1528" s="15">
        <v>68.7</v>
      </c>
      <c r="AO1528" s="15">
        <v>169.0</v>
      </c>
      <c r="AP1528" s="15">
        <v>121.4</v>
      </c>
      <c r="AQ1528" s="15">
        <v>39.32</v>
      </c>
      <c r="AR1528" s="15">
        <v>23.9</v>
      </c>
      <c r="AS1528" s="15">
        <v>42.0</v>
      </c>
      <c r="AT1528" s="15">
        <v>18.0</v>
      </c>
      <c r="AU1528" s="15">
        <v>50.0</v>
      </c>
      <c r="AV1528" s="15">
        <v>36.0</v>
      </c>
      <c r="AW1528" s="15">
        <v>82.75</v>
      </c>
      <c r="AX1528" s="15">
        <v>72.41</v>
      </c>
      <c r="AY1528" s="15">
        <v>100.0</v>
      </c>
      <c r="AZ1528" s="15">
        <v>33.98</v>
      </c>
      <c r="BA1528" s="15">
        <v>50.0</v>
      </c>
      <c r="BB1528" s="15">
        <v>70.2</v>
      </c>
      <c r="BC1528" s="15">
        <v>91.0</v>
      </c>
      <c r="BD1528" s="15">
        <v>20.0</v>
      </c>
      <c r="BE1528" s="15">
        <v>267.96</v>
      </c>
      <c r="BF1528" s="15">
        <v>40.0</v>
      </c>
      <c r="BG1528" s="15">
        <v>50.0</v>
      </c>
      <c r="BH1528" s="15">
        <v>20.0</v>
      </c>
      <c r="BI1528" s="15">
        <v>34.0</v>
      </c>
      <c r="BJ1528" s="15">
        <v>86.9</v>
      </c>
      <c r="BK1528" s="15">
        <v>51.94</v>
      </c>
      <c r="BL1528" s="15">
        <v>29.51</v>
      </c>
      <c r="BM1528" s="15">
        <v>19.37</v>
      </c>
      <c r="BN1528" s="15">
        <v>44.6</v>
      </c>
      <c r="BO1528" s="15">
        <v>156.86</v>
      </c>
      <c r="BP1528" s="15">
        <v>285.45</v>
      </c>
      <c r="BQ1528" s="15">
        <v>145.0</v>
      </c>
      <c r="BR1528" s="15">
        <v>51.39</v>
      </c>
      <c r="BS1528" s="15">
        <v>9.18</v>
      </c>
      <c r="BT1528" s="15">
        <v>74.0</v>
      </c>
      <c r="BU1528" s="15">
        <v>30.0</v>
      </c>
      <c r="BV1528" s="15">
        <v>170.28</v>
      </c>
      <c r="BW1528" s="15">
        <v>33.0</v>
      </c>
      <c r="BX1528" s="15">
        <v>30.0</v>
      </c>
      <c r="BY1528" s="15">
        <v>104.7</v>
      </c>
      <c r="BZ1528" s="15">
        <v>35.99</v>
      </c>
      <c r="CA1528" s="15">
        <v>35.5</v>
      </c>
      <c r="CB1528" s="15">
        <v>20.0</v>
      </c>
      <c r="CC1528" s="15">
        <v>36.0</v>
      </c>
      <c r="CD1528" s="15">
        <v>18.0</v>
      </c>
      <c r="CE1528" s="15">
        <v>5.9</v>
      </c>
      <c r="CF1528" s="15">
        <v>205.53</v>
      </c>
      <c r="CG1528" s="15">
        <v>27.9</v>
      </c>
      <c r="CH1528" s="15">
        <v>299.9</v>
      </c>
      <c r="CI1528" s="15">
        <v>55.63</v>
      </c>
      <c r="CJ1528" s="15">
        <v>282.16</v>
      </c>
      <c r="CK1528" s="15">
        <v>525.0</v>
      </c>
      <c r="CL1528" s="15">
        <v>80.93</v>
      </c>
      <c r="CM1528" s="15">
        <v>80.0</v>
      </c>
      <c r="CN1528" s="15">
        <v>87.8</v>
      </c>
      <c r="CO1528" s="15">
        <v>50.0</v>
      </c>
      <c r="CP1528" s="15">
        <v>44.9</v>
      </c>
      <c r="CQ1528" s="15">
        <v>118.0</v>
      </c>
      <c r="CR1528" s="15">
        <v>140.0</v>
      </c>
      <c r="CS1528" s="15">
        <v>60.0</v>
      </c>
      <c r="CT1528" s="15">
        <v>60.0</v>
      </c>
      <c r="CU1528" s="15">
        <v>153.78</v>
      </c>
      <c r="CV1528" s="15">
        <v>30.0</v>
      </c>
      <c r="CW1528" s="15">
        <v>0.61</v>
      </c>
      <c r="CX1528" s="15">
        <v>17.4</v>
      </c>
      <c r="CY1528" s="15">
        <v>76.63</v>
      </c>
      <c r="CZ1528" s="15">
        <v>70.0</v>
      </c>
      <c r="DA1528" s="15">
        <v>34.85</v>
      </c>
    </row>
    <row r="1529" ht="15.75" customHeight="1">
      <c r="A1529" s="35" t="s">
        <v>237</v>
      </c>
      <c r="B1529" s="15">
        <v>115.83</v>
      </c>
      <c r="C1529" s="15">
        <v>229.65</v>
      </c>
      <c r="D1529" s="15">
        <v>99.0</v>
      </c>
      <c r="E1529" s="15">
        <v>199.9</v>
      </c>
      <c r="F1529" s="15">
        <v>496.33</v>
      </c>
      <c r="G1529" s="15">
        <v>65.49</v>
      </c>
      <c r="H1529" s="15">
        <v>148.33</v>
      </c>
      <c r="I1529" s="15">
        <v>81.48</v>
      </c>
      <c r="J1529" s="15">
        <v>59.9</v>
      </c>
      <c r="K1529" s="15">
        <v>304.46</v>
      </c>
      <c r="L1529" s="15">
        <v>81.38</v>
      </c>
      <c r="M1529" s="15">
        <v>229.64</v>
      </c>
      <c r="N1529" s="15">
        <v>184.35</v>
      </c>
      <c r="O1529" s="15">
        <v>13.09</v>
      </c>
      <c r="P1529" s="15">
        <v>32.95</v>
      </c>
      <c r="Q1529" s="15">
        <v>35.0</v>
      </c>
      <c r="R1529" s="15">
        <v>59.9</v>
      </c>
    </row>
    <row r="1530" ht="15.75" customHeight="1">
      <c r="A1530" s="55" t="s">
        <v>47</v>
      </c>
      <c r="B1530" s="56">
        <v>236.39</v>
      </c>
    </row>
    <row r="1531" ht="15.75" customHeight="1">
      <c r="A1531" s="35" t="s">
        <v>212</v>
      </c>
      <c r="B1531" s="57">
        <v>61.0</v>
      </c>
    </row>
    <row r="1532" ht="15.75" customHeight="1">
      <c r="A1532" s="55" t="s">
        <v>115</v>
      </c>
      <c r="B1532" s="57">
        <v>1008.2</v>
      </c>
    </row>
    <row r="1533" ht="15.75" customHeight="1">
      <c r="A1533" s="55" t="s">
        <v>258</v>
      </c>
      <c r="B1533" s="57">
        <v>4400.0</v>
      </c>
    </row>
    <row r="1534" ht="15.75" customHeight="1">
      <c r="A1534" s="55" t="s">
        <v>259</v>
      </c>
      <c r="B1534" s="57">
        <v>500.0</v>
      </c>
    </row>
    <row r="1535" ht="15.75" customHeight="1">
      <c r="A1535" s="55" t="s">
        <v>260</v>
      </c>
      <c r="B1535" s="57">
        <v>50.0</v>
      </c>
    </row>
    <row r="1536" ht="15.75" customHeight="1">
      <c r="A1536" s="35" t="s">
        <v>88</v>
      </c>
      <c r="B1536" s="57">
        <v>80.92</v>
      </c>
    </row>
    <row r="1537" ht="15.75" customHeight="1">
      <c r="A1537" s="35" t="s">
        <v>109</v>
      </c>
      <c r="B1537" s="57">
        <v>117.2</v>
      </c>
    </row>
    <row r="1538" ht="15.75" customHeight="1">
      <c r="A1538" s="35" t="s">
        <v>83</v>
      </c>
      <c r="B1538" s="15">
        <v>48.02</v>
      </c>
    </row>
    <row r="1539" ht="15.75" customHeight="1">
      <c r="A1539" s="35"/>
    </row>
    <row r="1540" ht="15.75" customHeight="1">
      <c r="A1540" s="58" t="s">
        <v>1</v>
      </c>
      <c r="B1540" s="59">
        <f>SUM(B1528:DI1539)</f>
        <v>20051.03</v>
      </c>
    </row>
    <row r="1541" ht="15.75" customHeight="1"/>
    <row r="1542" ht="15.75" customHeight="1">
      <c r="A1542" s="18">
        <v>45931.0</v>
      </c>
    </row>
    <row r="1543" ht="15.75" customHeight="1">
      <c r="A1543" s="35" t="s">
        <v>249</v>
      </c>
      <c r="B1543" s="15">
        <v>835.96</v>
      </c>
      <c r="C1543" s="15">
        <v>500.0</v>
      </c>
      <c r="D1543" s="15">
        <v>81.17</v>
      </c>
      <c r="E1543" s="15">
        <v>70.07</v>
      </c>
      <c r="F1543" s="15">
        <v>77.4</v>
      </c>
      <c r="G1543" s="15">
        <v>100.3</v>
      </c>
      <c r="H1543" s="15">
        <v>79.15</v>
      </c>
      <c r="I1543" s="15">
        <v>2816.67</v>
      </c>
      <c r="J1543" s="15">
        <v>74.92</v>
      </c>
      <c r="K1543" s="15">
        <v>145.0</v>
      </c>
      <c r="L1543" s="15">
        <v>49.99</v>
      </c>
      <c r="M1543" s="15">
        <v>55.61</v>
      </c>
      <c r="N1543" s="15">
        <v>282.16</v>
      </c>
      <c r="O1543" s="15">
        <v>34.83</v>
      </c>
      <c r="P1543" s="15">
        <v>123.35</v>
      </c>
      <c r="Q1543" s="15">
        <v>104.97</v>
      </c>
      <c r="R1543" s="15">
        <v>17.48</v>
      </c>
      <c r="S1543" s="15">
        <v>15.0</v>
      </c>
      <c r="T1543" s="15">
        <v>59.95</v>
      </c>
      <c r="U1543" s="15">
        <v>288.73</v>
      </c>
      <c r="V1543" s="15">
        <v>5.9</v>
      </c>
      <c r="W1543" s="15">
        <v>361.9</v>
      </c>
      <c r="X1543" s="15">
        <v>182.14</v>
      </c>
      <c r="Y1543" s="15">
        <v>21.65</v>
      </c>
      <c r="Z1543" s="15">
        <v>570.0</v>
      </c>
      <c r="AA1543" s="15">
        <v>68.2</v>
      </c>
      <c r="AB1543" s="15">
        <v>35.99</v>
      </c>
      <c r="AC1543" s="15">
        <v>44.9</v>
      </c>
      <c r="AD1543" s="15">
        <v>90.0</v>
      </c>
      <c r="AE1543" s="15">
        <v>349.23</v>
      </c>
      <c r="AF1543" s="15">
        <v>27.9</v>
      </c>
      <c r="AG1543" s="15">
        <v>362.0</v>
      </c>
      <c r="AH1543" s="15">
        <v>142.04</v>
      </c>
      <c r="AI1543" s="15">
        <v>453.6</v>
      </c>
      <c r="AJ1543" s="15">
        <v>35.7</v>
      </c>
      <c r="AK1543" s="15">
        <v>160.0</v>
      </c>
      <c r="AL1543" s="15">
        <v>166.0</v>
      </c>
      <c r="AM1543" s="15">
        <v>258.0</v>
      </c>
      <c r="AN1543" s="15">
        <v>15.98</v>
      </c>
      <c r="AO1543" s="15">
        <v>99.0</v>
      </c>
      <c r="AP1543" s="15">
        <v>86.0</v>
      </c>
      <c r="AQ1543" s="15">
        <v>39.9</v>
      </c>
      <c r="AR1543" s="15">
        <v>57.54</v>
      </c>
      <c r="AS1543" s="15">
        <v>2.01</v>
      </c>
      <c r="AT1543" s="15">
        <v>460.0</v>
      </c>
      <c r="AU1543" s="15">
        <v>79.92</v>
      </c>
      <c r="AV1543" s="15">
        <v>136.13</v>
      </c>
      <c r="AW1543" s="15">
        <v>18.97</v>
      </c>
      <c r="AX1543" s="15">
        <v>14.49</v>
      </c>
      <c r="AY1543" s="15">
        <v>133.0</v>
      </c>
      <c r="AZ1543" s="15">
        <v>44.9</v>
      </c>
      <c r="BA1543" s="15">
        <v>55.0</v>
      </c>
      <c r="BB1543" s="15">
        <v>78.0</v>
      </c>
      <c r="BC1543" s="15">
        <v>230.0</v>
      </c>
      <c r="BD1543" s="15">
        <v>60.0</v>
      </c>
      <c r="BE1543" s="15">
        <v>21.06</v>
      </c>
      <c r="BF1543" s="15">
        <v>48.0</v>
      </c>
      <c r="BG1543" s="15">
        <v>26.0</v>
      </c>
      <c r="BH1543" s="15">
        <v>60.0</v>
      </c>
      <c r="BI1543" s="15">
        <v>10.73</v>
      </c>
      <c r="BJ1543" s="15">
        <v>19.9</v>
      </c>
      <c r="BK1543" s="15">
        <v>19.9</v>
      </c>
      <c r="BL1543" s="15">
        <v>70.0</v>
      </c>
      <c r="BM1543" s="15">
        <v>41.0</v>
      </c>
      <c r="BN1543" s="15">
        <v>30.0</v>
      </c>
      <c r="BO1543" s="15">
        <v>101.2</v>
      </c>
      <c r="BP1543" s="15">
        <v>106.9</v>
      </c>
      <c r="BQ1543" s="15">
        <v>73.4</v>
      </c>
      <c r="BR1543" s="15">
        <v>140.25</v>
      </c>
      <c r="BS1543" s="15">
        <v>103.39</v>
      </c>
      <c r="BT1543" s="15">
        <v>59.89</v>
      </c>
      <c r="BU1543" s="15">
        <v>234.48</v>
      </c>
      <c r="BV1543" s="15">
        <v>9.99</v>
      </c>
      <c r="BW1543" s="15">
        <v>131.0</v>
      </c>
      <c r="BX1543" s="15">
        <v>38.9</v>
      </c>
      <c r="BY1543" s="15">
        <v>76.25</v>
      </c>
      <c r="BZ1543" s="15">
        <v>67.2</v>
      </c>
      <c r="CA1543" s="15">
        <v>80.0</v>
      </c>
      <c r="CB1543" s="15">
        <v>40.0</v>
      </c>
      <c r="CC1543" s="15">
        <v>148.0</v>
      </c>
      <c r="CD1543" s="15">
        <v>124.5</v>
      </c>
      <c r="CE1543" s="15">
        <v>18.0</v>
      </c>
      <c r="CF1543" s="15"/>
    </row>
    <row r="1544" ht="15.75" customHeight="1">
      <c r="A1544" s="35" t="s">
        <v>237</v>
      </c>
      <c r="B1544" s="15">
        <v>229.65</v>
      </c>
      <c r="C1544" s="15">
        <v>199.9</v>
      </c>
      <c r="D1544" s="15">
        <v>496.33</v>
      </c>
      <c r="E1544" s="15">
        <v>65.49</v>
      </c>
      <c r="F1544" s="15">
        <v>115.83</v>
      </c>
      <c r="G1544" s="15">
        <v>148.33</v>
      </c>
      <c r="H1544" s="15">
        <v>184.32</v>
      </c>
      <c r="I1544" s="15">
        <v>10.0</v>
      </c>
      <c r="J1544" s="15">
        <v>107.9</v>
      </c>
      <c r="K1544" s="15">
        <v>197.0</v>
      </c>
      <c r="L1544" s="15">
        <v>8.5</v>
      </c>
      <c r="M1544" s="15">
        <v>19.9</v>
      </c>
      <c r="N1544" s="15">
        <v>157.3</v>
      </c>
      <c r="O1544" s="15">
        <v>203.34</v>
      </c>
      <c r="P1544" s="15">
        <v>84.84</v>
      </c>
      <c r="Q1544" s="15">
        <v>22.61</v>
      </c>
      <c r="R1544" s="15">
        <v>111.1</v>
      </c>
      <c r="S1544" s="15">
        <v>17.0</v>
      </c>
      <c r="T1544" s="15">
        <v>6.0</v>
      </c>
      <c r="U1544" s="15">
        <v>22.0</v>
      </c>
      <c r="V1544" s="15">
        <v>57.4</v>
      </c>
      <c r="W1544" s="15">
        <v>94.0</v>
      </c>
      <c r="X1544" s="15">
        <v>14.19</v>
      </c>
      <c r="Y1544" s="15">
        <v>34.75</v>
      </c>
      <c r="Z1544" s="15">
        <v>54.0</v>
      </c>
      <c r="AA1544" s="15">
        <v>59.9</v>
      </c>
    </row>
    <row r="1545" ht="15.75" customHeight="1">
      <c r="A1545" s="55" t="s">
        <v>47</v>
      </c>
      <c r="B1545" s="56">
        <v>236.39</v>
      </c>
    </row>
    <row r="1546" ht="15.75" customHeight="1">
      <c r="A1546" s="35" t="s">
        <v>212</v>
      </c>
      <c r="B1546" s="57">
        <v>61.0</v>
      </c>
    </row>
    <row r="1547" ht="15.75" customHeight="1">
      <c r="A1547" s="55" t="s">
        <v>115</v>
      </c>
      <c r="B1547" s="57">
        <v>500.0</v>
      </c>
    </row>
    <row r="1548" ht="15.75" customHeight="1">
      <c r="A1548" s="55" t="s">
        <v>258</v>
      </c>
      <c r="B1548" s="57">
        <v>1000.0</v>
      </c>
    </row>
    <row r="1549" ht="15.75" customHeight="1">
      <c r="A1549" s="55" t="s">
        <v>259</v>
      </c>
      <c r="B1549" s="57">
        <v>500.0</v>
      </c>
    </row>
    <row r="1550" ht="15.75" customHeight="1">
      <c r="A1550" s="55" t="s">
        <v>260</v>
      </c>
      <c r="B1550" s="57">
        <v>50.0</v>
      </c>
    </row>
    <row r="1551" ht="15.75" customHeight="1">
      <c r="A1551" s="35" t="s">
        <v>88</v>
      </c>
      <c r="B1551" s="57">
        <v>104.79</v>
      </c>
    </row>
    <row r="1552" ht="15.75" customHeight="1">
      <c r="A1552" s="35" t="s">
        <v>109</v>
      </c>
      <c r="B1552" s="57">
        <v>117.2</v>
      </c>
    </row>
    <row r="1553" ht="15.75" customHeight="1">
      <c r="A1553" s="35" t="s">
        <v>83</v>
      </c>
      <c r="B1553" s="15">
        <v>48.02</v>
      </c>
    </row>
    <row r="1554" ht="15.75" customHeight="1">
      <c r="A1554" s="35"/>
    </row>
    <row r="1555" ht="15.75" customHeight="1">
      <c r="A1555" s="58" t="s">
        <v>1</v>
      </c>
      <c r="B1555" s="59">
        <f>SUM(B1543:BT1554)</f>
        <v>17029.3</v>
      </c>
    </row>
    <row r="1556" ht="15.75" customHeight="1"/>
    <row r="1557" ht="15.75" customHeight="1">
      <c r="A1557" s="18">
        <v>45962.0</v>
      </c>
    </row>
    <row r="1558" ht="15.75" customHeight="1">
      <c r="A1558" s="35" t="s">
        <v>249</v>
      </c>
      <c r="B1558" s="15">
        <v>500.0</v>
      </c>
      <c r="C1558" s="15">
        <v>81.17</v>
      </c>
      <c r="D1558" s="15">
        <v>70.07</v>
      </c>
      <c r="E1558" s="15">
        <v>77.4</v>
      </c>
      <c r="F1558" s="15">
        <v>79.15</v>
      </c>
      <c r="G1558" s="15">
        <v>2816.66</v>
      </c>
      <c r="H1558" s="15">
        <v>74.92</v>
      </c>
      <c r="I1558" s="15">
        <v>145.0</v>
      </c>
      <c r="J1558" s="15">
        <v>49.99</v>
      </c>
      <c r="K1558" s="15">
        <v>55.61</v>
      </c>
      <c r="L1558" s="15">
        <v>34.83</v>
      </c>
      <c r="M1558" s="15">
        <v>123.33</v>
      </c>
      <c r="N1558" s="15">
        <v>59.95</v>
      </c>
      <c r="O1558" s="15">
        <v>68.19</v>
      </c>
      <c r="P1558" s="15">
        <v>142.03</v>
      </c>
      <c r="Q1558" s="15">
        <v>160.0</v>
      </c>
      <c r="R1558" s="15">
        <v>258.0</v>
      </c>
      <c r="S1558" s="15">
        <v>1074.0</v>
      </c>
      <c r="T1558" s="15">
        <v>27.74</v>
      </c>
      <c r="U1558" s="15">
        <v>35.99</v>
      </c>
      <c r="V1558" s="15">
        <v>92.2</v>
      </c>
      <c r="W1558" s="15">
        <v>94.17</v>
      </c>
      <c r="X1558" s="15">
        <v>9.0</v>
      </c>
      <c r="Y1558" s="15">
        <v>43.2</v>
      </c>
      <c r="Z1558" s="15">
        <v>169.0</v>
      </c>
      <c r="AA1558" s="15">
        <v>34.19</v>
      </c>
      <c r="AB1558" s="15">
        <v>5.9</v>
      </c>
      <c r="AC1558" s="15">
        <v>31.9</v>
      </c>
      <c r="AD1558" s="15">
        <v>42.5</v>
      </c>
      <c r="AE1558" s="15">
        <v>140.0</v>
      </c>
      <c r="AF1558" s="15">
        <v>18.98</v>
      </c>
      <c r="AG1558" s="15">
        <v>78.13</v>
      </c>
      <c r="AH1558" s="15">
        <v>23.0</v>
      </c>
      <c r="AI1558" s="15">
        <v>563.68</v>
      </c>
      <c r="AJ1558" s="15">
        <v>44.9</v>
      </c>
      <c r="AK1558" s="15">
        <v>756.52</v>
      </c>
      <c r="AL1558" s="15">
        <v>200.0</v>
      </c>
      <c r="AM1558" s="15">
        <v>87.86</v>
      </c>
      <c r="AN1558" s="15">
        <v>85.0</v>
      </c>
      <c r="AO1558" s="15">
        <v>1.97</v>
      </c>
      <c r="AP1558" s="15">
        <v>56.25</v>
      </c>
      <c r="AQ1558" s="15">
        <v>15.0</v>
      </c>
      <c r="AR1558" s="15">
        <v>172.09</v>
      </c>
      <c r="AS1558" s="15">
        <v>245.04</v>
      </c>
      <c r="AT1558" s="15">
        <v>29.97</v>
      </c>
      <c r="AU1558" s="15">
        <v>9.98</v>
      </c>
      <c r="AV1558" s="15">
        <v>19.9</v>
      </c>
      <c r="AW1558" s="15">
        <v>5.98</v>
      </c>
      <c r="AX1558" s="15">
        <v>44.9</v>
      </c>
      <c r="AY1558" s="15">
        <v>460.0</v>
      </c>
      <c r="AZ1558" s="15">
        <v>135.7</v>
      </c>
      <c r="BA1558" s="15">
        <v>132.6</v>
      </c>
      <c r="BB1558" s="16"/>
      <c r="BC1558" s="15">
        <v>28.44</v>
      </c>
      <c r="BD1558" s="15">
        <v>70.0</v>
      </c>
      <c r="BE1558" s="15">
        <v>9.5</v>
      </c>
      <c r="BF1558" s="15">
        <v>167.0</v>
      </c>
      <c r="BG1558" s="15">
        <v>41.5</v>
      </c>
      <c r="BH1558" s="15">
        <v>89.19</v>
      </c>
      <c r="BI1558" s="15">
        <v>45.9</v>
      </c>
      <c r="BJ1558" s="15">
        <v>75.0</v>
      </c>
      <c r="BK1558" s="15">
        <v>30.0</v>
      </c>
      <c r="BL1558" s="15">
        <v>15.0</v>
      </c>
      <c r="BM1558" s="15">
        <v>15.0</v>
      </c>
      <c r="BN1558" s="15">
        <v>19.9</v>
      </c>
      <c r="BO1558" s="15">
        <v>91.6</v>
      </c>
      <c r="BP1558" s="15">
        <v>168.0</v>
      </c>
      <c r="BQ1558" s="15">
        <v>209.0</v>
      </c>
      <c r="BR1558" s="15">
        <v>15.0</v>
      </c>
      <c r="BS1558" s="15">
        <v>45.0</v>
      </c>
      <c r="BT1558" s="15">
        <v>21.98</v>
      </c>
      <c r="BU1558" s="15">
        <v>66.54</v>
      </c>
      <c r="BV1558" s="15">
        <v>34.5</v>
      </c>
      <c r="BW1558" s="15">
        <v>33.0</v>
      </c>
      <c r="BX1558" s="15">
        <v>154.22</v>
      </c>
      <c r="BY1558" s="15">
        <v>39.0</v>
      </c>
      <c r="BZ1558" s="15">
        <v>52.0</v>
      </c>
      <c r="CA1558" s="15">
        <v>93.8</v>
      </c>
      <c r="CB1558" s="15">
        <v>21.63</v>
      </c>
      <c r="CC1558" s="15">
        <v>84.2</v>
      </c>
      <c r="CD1558" s="15">
        <v>86.97</v>
      </c>
      <c r="CE1558" s="15">
        <v>57.08</v>
      </c>
      <c r="CF1558" s="15">
        <v>119.45</v>
      </c>
      <c r="CG1558" s="15">
        <v>56.9</v>
      </c>
      <c r="CH1558" s="15">
        <v>51.9</v>
      </c>
      <c r="CI1558" s="15">
        <v>92.35</v>
      </c>
      <c r="CJ1558" s="15">
        <v>49.27</v>
      </c>
      <c r="CK1558" s="15">
        <v>89.0</v>
      </c>
      <c r="CL1558" s="16"/>
    </row>
    <row r="1559" ht="15.75" customHeight="1">
      <c r="A1559" s="35" t="s">
        <v>237</v>
      </c>
      <c r="B1559" s="15">
        <v>229.65</v>
      </c>
      <c r="C1559" s="15">
        <v>199.9</v>
      </c>
      <c r="D1559" s="15">
        <v>496.33</v>
      </c>
      <c r="E1559" s="15">
        <v>65.49</v>
      </c>
      <c r="F1559" s="15">
        <v>115.83</v>
      </c>
      <c r="G1559" s="15">
        <v>184.32</v>
      </c>
      <c r="H1559" s="15">
        <v>203.33</v>
      </c>
      <c r="I1559" s="15">
        <v>57.4</v>
      </c>
      <c r="J1559" s="15">
        <v>473.06</v>
      </c>
      <c r="K1559" s="15">
        <v>91.88</v>
      </c>
      <c r="L1559" s="15">
        <v>163.6</v>
      </c>
      <c r="M1559" s="15">
        <v>168.48</v>
      </c>
      <c r="N1559" s="15">
        <v>19.51</v>
      </c>
      <c r="O1559" s="15">
        <v>18.29</v>
      </c>
      <c r="P1559" s="15">
        <v>350.0</v>
      </c>
      <c r="Q1559" s="15">
        <v>272.22</v>
      </c>
      <c r="R1559" s="16"/>
      <c r="S1559" s="16"/>
      <c r="T1559" s="16"/>
    </row>
    <row r="1560" ht="15.75" customHeight="1">
      <c r="A1560" s="55" t="s">
        <v>47</v>
      </c>
      <c r="B1560" s="56">
        <v>236.39</v>
      </c>
    </row>
    <row r="1561" ht="15.75" customHeight="1">
      <c r="A1561" s="35" t="s">
        <v>212</v>
      </c>
      <c r="B1561" s="57">
        <v>61.0</v>
      </c>
    </row>
    <row r="1562" ht="15.75" customHeight="1">
      <c r="A1562" s="55" t="s">
        <v>115</v>
      </c>
      <c r="B1562" s="57">
        <v>500.0</v>
      </c>
    </row>
    <row r="1563" ht="15.75" customHeight="1">
      <c r="A1563" s="55" t="s">
        <v>258</v>
      </c>
      <c r="B1563" s="57">
        <v>1000.0</v>
      </c>
    </row>
    <row r="1564" ht="15.75" customHeight="1">
      <c r="A1564" s="55" t="s">
        <v>259</v>
      </c>
      <c r="B1564" s="57">
        <v>500.0</v>
      </c>
    </row>
    <row r="1565" ht="15.75" customHeight="1">
      <c r="A1565" s="55" t="s">
        <v>260</v>
      </c>
      <c r="B1565" s="57">
        <v>50.0</v>
      </c>
    </row>
    <row r="1566" ht="15.75" customHeight="1">
      <c r="A1566" s="35" t="s">
        <v>88</v>
      </c>
      <c r="B1566" s="57">
        <v>103.87</v>
      </c>
    </row>
    <row r="1567" ht="15.75" customHeight="1">
      <c r="A1567" s="35" t="s">
        <v>109</v>
      </c>
      <c r="B1567" s="57">
        <v>117.2</v>
      </c>
    </row>
    <row r="1568" ht="15.75" customHeight="1">
      <c r="A1568" s="35" t="s">
        <v>83</v>
      </c>
      <c r="B1568" s="15">
        <v>48.02</v>
      </c>
    </row>
    <row r="1569" ht="15.75" customHeight="1">
      <c r="A1569" s="35"/>
    </row>
    <row r="1570" ht="15.75" customHeight="1">
      <c r="A1570" s="58" t="s">
        <v>1</v>
      </c>
      <c r="B1570" s="59">
        <f>SUM(B1558:BS1569)</f>
        <v>16644.34</v>
      </c>
    </row>
    <row r="1571" ht="15.75" customHeight="1"/>
    <row r="1572" ht="15.75" customHeight="1">
      <c r="A1572" s="18">
        <v>45992.0</v>
      </c>
      <c r="S1572" s="15" t="s">
        <v>261</v>
      </c>
    </row>
    <row r="1573" ht="15.75" customHeight="1">
      <c r="A1573" s="35" t="s">
        <v>249</v>
      </c>
      <c r="B1573" s="15">
        <v>500.0</v>
      </c>
      <c r="C1573" s="15">
        <v>70.07</v>
      </c>
      <c r="D1573" s="15">
        <v>79.15</v>
      </c>
      <c r="E1573" s="15">
        <v>2816.67</v>
      </c>
      <c r="F1573" s="15">
        <v>74.92</v>
      </c>
      <c r="G1573" s="15">
        <v>49.99</v>
      </c>
      <c r="H1573" s="15">
        <v>55.61</v>
      </c>
      <c r="I1573" s="15">
        <v>34.83</v>
      </c>
      <c r="J1573" s="15">
        <v>123.33</v>
      </c>
      <c r="K1573" s="15">
        <v>142.02</v>
      </c>
      <c r="L1573" s="15">
        <v>1074.0</v>
      </c>
      <c r="M1573" s="15">
        <v>69.9</v>
      </c>
      <c r="N1573" s="15">
        <v>119.44</v>
      </c>
      <c r="O1573" s="15">
        <v>56.89</v>
      </c>
      <c r="P1573" s="15">
        <v>51.9</v>
      </c>
      <c r="Q1573" s="15">
        <v>92.35</v>
      </c>
      <c r="R1573" s="15">
        <v>49.25</v>
      </c>
      <c r="S1573" s="15">
        <v>130.26</v>
      </c>
      <c r="T1573" s="15">
        <v>160.87</v>
      </c>
      <c r="U1573" s="15">
        <v>89.0</v>
      </c>
      <c r="V1573" s="15">
        <v>18.39</v>
      </c>
      <c r="W1573" s="15">
        <v>35.99</v>
      </c>
      <c r="X1573" s="15">
        <v>100.0</v>
      </c>
      <c r="Y1573" s="15">
        <v>12.34</v>
      </c>
      <c r="Z1573" s="15">
        <v>150.79</v>
      </c>
      <c r="AA1573" s="15">
        <v>37.0</v>
      </c>
      <c r="AB1573" s="15">
        <v>231.66</v>
      </c>
      <c r="AC1573" s="15">
        <v>5.9</v>
      </c>
      <c r="AD1573" s="15">
        <v>42.96</v>
      </c>
      <c r="AE1573" s="15">
        <v>31.9</v>
      </c>
      <c r="AF1573" s="15">
        <v>86.62</v>
      </c>
      <c r="AG1573" s="15">
        <v>18.0</v>
      </c>
      <c r="AH1573" s="15">
        <v>58.0</v>
      </c>
      <c r="AI1573" s="15">
        <v>44.9</v>
      </c>
      <c r="AJ1573" s="15">
        <v>117.0</v>
      </c>
      <c r="AK1573" s="15">
        <v>20.0</v>
      </c>
      <c r="AL1573" s="15">
        <v>9.0</v>
      </c>
      <c r="AM1573" s="15">
        <v>34.57</v>
      </c>
      <c r="AN1573" s="15">
        <v>80.0</v>
      </c>
      <c r="AO1573" s="15">
        <v>63.4</v>
      </c>
      <c r="AP1573" s="15">
        <v>13.24</v>
      </c>
      <c r="AQ1573" s="15">
        <v>32.7</v>
      </c>
      <c r="AR1573" s="15">
        <v>17.32</v>
      </c>
      <c r="AS1573" s="15">
        <v>16.61</v>
      </c>
      <c r="AT1573" s="15">
        <v>1.98</v>
      </c>
      <c r="AU1573" s="15">
        <v>56.67</v>
      </c>
      <c r="AV1573" s="15">
        <v>91.17</v>
      </c>
      <c r="AW1573" s="15">
        <v>75.96</v>
      </c>
      <c r="AX1573" s="15">
        <v>348.2</v>
      </c>
      <c r="AY1573" s="15">
        <v>168.45</v>
      </c>
      <c r="AZ1573" s="15">
        <v>134.92</v>
      </c>
      <c r="BA1573" s="15">
        <v>77.07</v>
      </c>
      <c r="BB1573" s="15">
        <v>36.34</v>
      </c>
      <c r="BC1573" s="15">
        <v>253.68</v>
      </c>
      <c r="BD1573" s="15">
        <v>19.9</v>
      </c>
      <c r="BE1573" s="15">
        <v>78.0</v>
      </c>
      <c r="BF1573" s="15">
        <v>39.8</v>
      </c>
      <c r="BG1573" s="15">
        <v>18.0</v>
      </c>
      <c r="BH1573" s="15">
        <v>94.0</v>
      </c>
      <c r="BI1573" s="15">
        <v>53.97</v>
      </c>
      <c r="BJ1573" s="15">
        <v>44.9</v>
      </c>
      <c r="BK1573" s="15">
        <v>460.0</v>
      </c>
      <c r="BL1573" s="15">
        <v>75.0</v>
      </c>
      <c r="BM1573" s="15">
        <v>200.0</v>
      </c>
      <c r="BN1573" s="15">
        <v>268.18</v>
      </c>
      <c r="BO1573" s="15">
        <v>42.0</v>
      </c>
      <c r="BP1573" s="15">
        <v>63.0</v>
      </c>
      <c r="BQ1573" s="15">
        <v>89.34</v>
      </c>
      <c r="BR1573" s="15">
        <v>56.0</v>
      </c>
      <c r="BS1573" s="15">
        <v>200.0</v>
      </c>
      <c r="BT1573" s="15">
        <v>100.0</v>
      </c>
      <c r="BU1573" s="15">
        <v>32.42</v>
      </c>
      <c r="BV1573" s="15">
        <v>100.0</v>
      </c>
      <c r="BW1573" s="15">
        <v>154.9</v>
      </c>
      <c r="BX1573" s="15">
        <v>13.75</v>
      </c>
      <c r="BY1573" s="15">
        <v>226.0</v>
      </c>
      <c r="BZ1573" s="15">
        <v>31.97</v>
      </c>
      <c r="CA1573" s="15">
        <v>104.67</v>
      </c>
      <c r="CB1573" s="15">
        <v>36.0</v>
      </c>
      <c r="CC1573" s="15">
        <v>6.0</v>
      </c>
      <c r="CD1573" s="15">
        <v>18.0</v>
      </c>
      <c r="CE1573" s="15">
        <v>33.0</v>
      </c>
      <c r="CF1573" s="15">
        <v>103.0</v>
      </c>
      <c r="CG1573" s="15">
        <v>70.89</v>
      </c>
      <c r="CH1573" s="15">
        <v>188.79</v>
      </c>
      <c r="CI1573" s="15">
        <v>48.0</v>
      </c>
    </row>
    <row r="1574" ht="15.75" customHeight="1">
      <c r="A1574" s="35" t="s">
        <v>237</v>
      </c>
      <c r="B1574" s="15">
        <v>229.65</v>
      </c>
      <c r="C1574" s="15">
        <v>199.9</v>
      </c>
      <c r="D1574" s="15">
        <v>496.33</v>
      </c>
      <c r="E1574" s="15">
        <v>65.49</v>
      </c>
      <c r="F1574" s="15">
        <v>115.83</v>
      </c>
      <c r="G1574" s="15">
        <v>184.32</v>
      </c>
      <c r="H1574" s="15">
        <v>203.33</v>
      </c>
      <c r="I1574" s="15">
        <v>91.86</v>
      </c>
      <c r="J1574" s="15">
        <v>350.0</v>
      </c>
      <c r="K1574" s="15">
        <v>40.28</v>
      </c>
      <c r="L1574" s="15">
        <v>606.48</v>
      </c>
      <c r="M1574" s="15">
        <v>19.5</v>
      </c>
      <c r="N1574" s="15">
        <v>119.88</v>
      </c>
      <c r="O1574" s="15">
        <v>343.2</v>
      </c>
      <c r="P1574" s="15">
        <v>59.9</v>
      </c>
      <c r="Q1574" s="15">
        <v>400.0</v>
      </c>
      <c r="R1574" s="15">
        <v>79.11</v>
      </c>
      <c r="S1574" s="15">
        <v>32.0</v>
      </c>
      <c r="T1574" s="15">
        <v>5.0</v>
      </c>
      <c r="U1574" s="15">
        <v>35.48</v>
      </c>
      <c r="V1574" s="15">
        <v>1.89</v>
      </c>
    </row>
    <row r="1575" ht="15.75" customHeight="1">
      <c r="A1575" s="35" t="s">
        <v>212</v>
      </c>
      <c r="B1575" s="57">
        <v>61.0</v>
      </c>
    </row>
    <row r="1576" ht="15.75" customHeight="1">
      <c r="A1576" s="55" t="s">
        <v>115</v>
      </c>
      <c r="B1576" s="57">
        <v>50.0</v>
      </c>
    </row>
    <row r="1577" ht="15.75" customHeight="1">
      <c r="A1577" s="55" t="s">
        <v>258</v>
      </c>
      <c r="B1577" s="57">
        <v>50.0</v>
      </c>
    </row>
    <row r="1578" ht="15.75" customHeight="1">
      <c r="A1578" s="55" t="s">
        <v>259</v>
      </c>
      <c r="B1578" s="57">
        <v>100.0</v>
      </c>
    </row>
    <row r="1579" ht="15.75" customHeight="1">
      <c r="A1579" s="55" t="s">
        <v>260</v>
      </c>
      <c r="B1579" s="57">
        <v>50.0</v>
      </c>
    </row>
    <row r="1580" ht="15.75" customHeight="1">
      <c r="A1580" s="35" t="s">
        <v>88</v>
      </c>
      <c r="B1580" s="15">
        <v>104.89</v>
      </c>
    </row>
    <row r="1581" ht="15.75" customHeight="1">
      <c r="A1581" s="35" t="s">
        <v>109</v>
      </c>
      <c r="B1581" s="57">
        <v>117.2</v>
      </c>
    </row>
    <row r="1582" ht="15.75" customHeight="1">
      <c r="A1582" s="35" t="s">
        <v>83</v>
      </c>
      <c r="B1582" s="15">
        <v>48.02</v>
      </c>
    </row>
    <row r="1583" ht="15.75" customHeight="1">
      <c r="A1583" s="35"/>
    </row>
    <row r="1584" ht="15.75" customHeight="1">
      <c r="A1584" s="58" t="s">
        <v>1</v>
      </c>
      <c r="B1584" s="59">
        <f>SUM(B1573:CE1583)</f>
        <v>15282.52</v>
      </c>
    </row>
    <row r="1585" ht="15.75" customHeight="1"/>
    <row r="1586" ht="15.75" customHeight="1"/>
    <row r="1587" ht="15.75" customHeight="1">
      <c r="A1587" s="18">
        <v>46023.0</v>
      </c>
      <c r="R1587" s="19" t="s">
        <v>51</v>
      </c>
      <c r="S1587" s="19" t="s">
        <v>261</v>
      </c>
      <c r="T1587" s="19" t="s">
        <v>262</v>
      </c>
      <c r="V1587" s="19" t="s">
        <v>263</v>
      </c>
      <c r="W1587" s="19" t="s">
        <v>264</v>
      </c>
    </row>
    <row r="1588" ht="15.75" customHeight="1">
      <c r="A1588" s="35" t="s">
        <v>249</v>
      </c>
      <c r="B1588" s="15">
        <v>500.0</v>
      </c>
      <c r="C1588" s="15">
        <v>79.15</v>
      </c>
      <c r="D1588" s="15">
        <v>55.61</v>
      </c>
      <c r="E1588" s="15">
        <v>34.83</v>
      </c>
      <c r="F1588" s="15">
        <v>123.33</v>
      </c>
      <c r="G1588" s="15">
        <v>69.9</v>
      </c>
      <c r="H1588" s="15">
        <v>119.44</v>
      </c>
      <c r="I1588" s="15">
        <v>51.9</v>
      </c>
      <c r="J1588" s="15">
        <v>49.25</v>
      </c>
      <c r="K1588" s="15">
        <v>253.67</v>
      </c>
      <c r="L1588" s="15">
        <v>160.86</v>
      </c>
      <c r="M1588" s="15">
        <v>89.0</v>
      </c>
      <c r="N1588" s="15">
        <v>104.67</v>
      </c>
      <c r="O1588" s="15">
        <v>348.2</v>
      </c>
      <c r="P1588" s="15">
        <v>36.31</v>
      </c>
      <c r="Q1588" s="15">
        <v>89.33</v>
      </c>
      <c r="R1588" s="15">
        <v>75.96</v>
      </c>
      <c r="S1588" s="15">
        <v>130.24</v>
      </c>
      <c r="T1588" s="15">
        <v>467.75</v>
      </c>
      <c r="U1588" s="15">
        <v>158.25</v>
      </c>
      <c r="V1588" s="15">
        <v>147.24</v>
      </c>
      <c r="W1588" s="15">
        <v>213.69</v>
      </c>
      <c r="X1588" s="15">
        <v>79.9</v>
      </c>
      <c r="Y1588" s="15">
        <v>59.95</v>
      </c>
      <c r="Z1588" s="15">
        <v>68.3</v>
      </c>
      <c r="AA1588" s="15">
        <v>82.4</v>
      </c>
      <c r="AB1588" s="15">
        <v>69.5</v>
      </c>
      <c r="AC1588" s="15"/>
      <c r="AD1588" s="15">
        <v>50.6</v>
      </c>
      <c r="AE1588" s="15">
        <v>101.0</v>
      </c>
      <c r="AF1588" s="15">
        <v>59.8</v>
      </c>
      <c r="AG1588" s="15">
        <v>5.9</v>
      </c>
      <c r="AH1588" s="15">
        <v>10.85</v>
      </c>
      <c r="AI1588" s="15">
        <v>31.9</v>
      </c>
      <c r="AJ1588" s="15">
        <v>1095.38</v>
      </c>
      <c r="AK1588" s="15">
        <v>89.9</v>
      </c>
      <c r="AL1588" s="15">
        <v>89.8</v>
      </c>
      <c r="AM1588" s="15">
        <v>109.29</v>
      </c>
      <c r="AN1588" s="15">
        <v>118.0</v>
      </c>
      <c r="AO1588" s="15">
        <v>34.5</v>
      </c>
      <c r="AP1588" s="15">
        <v>44.9</v>
      </c>
      <c r="AQ1588" s="15">
        <v>69.9</v>
      </c>
      <c r="AR1588" s="15">
        <v>47.13</v>
      </c>
      <c r="AS1588" s="15">
        <v>577.81</v>
      </c>
      <c r="AT1588" s="15">
        <v>45.71</v>
      </c>
      <c r="AU1588" s="15">
        <v>56.27</v>
      </c>
      <c r="AV1588" s="15">
        <v>1.97</v>
      </c>
      <c r="AW1588" s="15">
        <v>75.0</v>
      </c>
      <c r="AX1588" s="15">
        <v>9.0</v>
      </c>
      <c r="AY1588" s="15">
        <v>11.3</v>
      </c>
      <c r="AZ1588" s="15">
        <v>30.15</v>
      </c>
      <c r="BA1588" s="15">
        <v>113.06</v>
      </c>
      <c r="BB1588" s="15">
        <v>82.8</v>
      </c>
      <c r="BC1588" s="15">
        <v>146.68</v>
      </c>
      <c r="BD1588" s="15">
        <v>270.82</v>
      </c>
      <c r="BE1588" s="15">
        <v>71.67</v>
      </c>
      <c r="BF1588" s="15">
        <v>27.28</v>
      </c>
      <c r="BG1588" s="15">
        <v>16.0</v>
      </c>
      <c r="BH1588" s="15">
        <v>7.0</v>
      </c>
      <c r="BI1588" s="15">
        <v>18.0</v>
      </c>
      <c r="BJ1588" s="15">
        <v>35.0</v>
      </c>
      <c r="BK1588" s="15">
        <v>119.9</v>
      </c>
      <c r="BL1588" s="15">
        <v>18.0</v>
      </c>
      <c r="BM1588" s="15">
        <v>235.4</v>
      </c>
      <c r="BN1588" s="15">
        <v>67.54</v>
      </c>
      <c r="BO1588" s="15">
        <v>216.59</v>
      </c>
      <c r="BP1588" s="15">
        <v>44.9</v>
      </c>
      <c r="BQ1588" s="15">
        <v>460.0</v>
      </c>
      <c r="BR1588" s="15">
        <v>16.99</v>
      </c>
      <c r="BS1588" s="15">
        <v>19.99</v>
      </c>
      <c r="BT1588" s="15">
        <v>285.0</v>
      </c>
      <c r="BU1588" s="15">
        <v>78.02</v>
      </c>
      <c r="BV1588" s="15">
        <v>19.9</v>
      </c>
      <c r="BW1588" s="15">
        <v>52.86</v>
      </c>
      <c r="BX1588" s="15">
        <v>187.99</v>
      </c>
      <c r="BY1588" s="15">
        <v>10.0</v>
      </c>
      <c r="BZ1588" s="15">
        <v>320.17</v>
      </c>
      <c r="CA1588" s="15">
        <v>109.0</v>
      </c>
      <c r="CB1588" s="15">
        <v>20.0</v>
      </c>
      <c r="CC1588" s="15">
        <v>18.0</v>
      </c>
      <c r="CD1588" s="15">
        <v>18.0</v>
      </c>
      <c r="CE1588" s="15">
        <v>20.0</v>
      </c>
      <c r="CF1588" s="15">
        <v>20.0</v>
      </c>
      <c r="CG1588" s="15">
        <v>18.0</v>
      </c>
      <c r="CH1588" s="15">
        <v>50.0</v>
      </c>
      <c r="CI1588" s="15">
        <v>20.0</v>
      </c>
      <c r="CJ1588" s="15">
        <v>97.5</v>
      </c>
      <c r="CK1588" s="15">
        <v>10.9</v>
      </c>
      <c r="CL1588" s="15">
        <v>214.0</v>
      </c>
      <c r="CM1588" s="15">
        <v>151.53</v>
      </c>
      <c r="CN1588" s="15">
        <v>119.98</v>
      </c>
    </row>
    <row r="1589" ht="15.75" customHeight="1">
      <c r="A1589" s="35" t="s">
        <v>237</v>
      </c>
      <c r="B1589" s="15">
        <v>199.9</v>
      </c>
      <c r="C1589" s="15">
        <v>496.33</v>
      </c>
      <c r="D1589" s="15">
        <v>65.49</v>
      </c>
      <c r="E1589" s="15">
        <v>115.83</v>
      </c>
      <c r="F1589" s="15">
        <v>91.86</v>
      </c>
      <c r="G1589" s="15">
        <v>103.81</v>
      </c>
      <c r="H1589" s="15">
        <v>59.9</v>
      </c>
      <c r="I1589" s="15">
        <v>125.19</v>
      </c>
      <c r="J1589" s="15">
        <v>99.64</v>
      </c>
      <c r="K1589" s="15">
        <v>24.51</v>
      </c>
      <c r="L1589" s="15">
        <v>36.3</v>
      </c>
      <c r="M1589" s="15">
        <v>132.0</v>
      </c>
      <c r="N1589" s="15">
        <v>102.0</v>
      </c>
      <c r="O1589" s="15">
        <v>20.0</v>
      </c>
      <c r="P1589" s="15">
        <v>236.0</v>
      </c>
      <c r="Q1589" s="15">
        <v>154.0</v>
      </c>
      <c r="R1589" s="15">
        <v>73.35</v>
      </c>
    </row>
    <row r="1590" ht="15.75" customHeight="1">
      <c r="A1590" s="35" t="s">
        <v>212</v>
      </c>
      <c r="B1590" s="57">
        <v>61.0</v>
      </c>
    </row>
    <row r="1591" ht="15.75" customHeight="1">
      <c r="A1591" s="55" t="s">
        <v>115</v>
      </c>
      <c r="B1591" s="57">
        <v>500.0</v>
      </c>
    </row>
    <row r="1592" ht="15.75" customHeight="1">
      <c r="A1592" s="55" t="s">
        <v>258</v>
      </c>
      <c r="B1592" s="57">
        <v>2000.0</v>
      </c>
    </row>
    <row r="1593" ht="15.75" customHeight="1">
      <c r="A1593" s="55" t="s">
        <v>259</v>
      </c>
      <c r="B1593" s="57">
        <v>500.0</v>
      </c>
    </row>
    <row r="1594" ht="15.75" customHeight="1">
      <c r="A1594" s="55" t="s">
        <v>260</v>
      </c>
      <c r="B1594" s="57">
        <v>50.0</v>
      </c>
    </row>
    <row r="1595" ht="15.75" customHeight="1">
      <c r="A1595" s="35" t="s">
        <v>88</v>
      </c>
      <c r="B1595" s="57">
        <v>140.15</v>
      </c>
      <c r="J1595" s="16"/>
    </row>
    <row r="1596" ht="15.75" customHeight="1">
      <c r="A1596" s="35" t="s">
        <v>109</v>
      </c>
      <c r="B1596" s="57">
        <v>175.79</v>
      </c>
    </row>
    <row r="1597" ht="15.75" customHeight="1">
      <c r="A1597" s="35"/>
      <c r="B1597" s="15"/>
    </row>
    <row r="1598" ht="15.75" customHeight="1">
      <c r="A1598" s="35"/>
    </row>
    <row r="1599" ht="15.75" customHeight="1">
      <c r="A1599" s="35" t="s">
        <v>1</v>
      </c>
      <c r="B1599" s="2">
        <f>SUM(B1588:DI1598)</f>
        <v>15876.21</v>
      </c>
    </row>
    <row r="1600" ht="15.75" customHeight="1"/>
    <row r="1601" ht="15.75" customHeight="1">
      <c r="A1601" s="18">
        <v>46054.0</v>
      </c>
      <c r="I1601" s="19" t="s">
        <v>51</v>
      </c>
      <c r="N1601" s="16"/>
      <c r="S1601" s="19" t="s">
        <v>261</v>
      </c>
    </row>
    <row r="1602" ht="15.75" customHeight="1">
      <c r="A1602" s="35" t="s">
        <v>249</v>
      </c>
      <c r="B1602" s="15">
        <v>500.0</v>
      </c>
      <c r="C1602" s="15">
        <v>55.61</v>
      </c>
      <c r="D1602" s="15">
        <v>34.83</v>
      </c>
      <c r="E1602" s="15">
        <v>123.33</v>
      </c>
      <c r="F1602" s="15">
        <v>119.44</v>
      </c>
      <c r="G1602" s="15">
        <v>51.9</v>
      </c>
      <c r="H1602" s="15">
        <v>49.25</v>
      </c>
      <c r="I1602" s="15">
        <v>75.96</v>
      </c>
      <c r="J1602" s="15">
        <v>106.86</v>
      </c>
      <c r="K1602" s="15">
        <v>89.0</v>
      </c>
      <c r="L1602" s="15">
        <v>104.67</v>
      </c>
      <c r="M1602" s="15">
        <v>348.2</v>
      </c>
      <c r="N1602" s="15">
        <v>36.31</v>
      </c>
      <c r="O1602" s="15">
        <v>89.33</v>
      </c>
      <c r="P1602" s="15">
        <v>34.8</v>
      </c>
      <c r="Q1602" s="15">
        <v>59.95</v>
      </c>
      <c r="R1602" s="15">
        <v>69.5</v>
      </c>
      <c r="S1602" s="15">
        <v>130.24</v>
      </c>
      <c r="T1602" s="15">
        <v>68.26</v>
      </c>
      <c r="U1602" s="15">
        <v>82.4</v>
      </c>
      <c r="V1602" s="15">
        <v>101.0</v>
      </c>
      <c r="W1602" s="15">
        <v>1095.34</v>
      </c>
      <c r="X1602" s="15">
        <v>109.29</v>
      </c>
      <c r="Y1602" s="15">
        <v>146.66</v>
      </c>
      <c r="Z1602" s="15">
        <v>67.53</v>
      </c>
      <c r="AA1602" s="15">
        <v>381.7</v>
      </c>
      <c r="AB1602" s="15">
        <v>5.9</v>
      </c>
      <c r="AC1602" s="15">
        <v>31.9</v>
      </c>
      <c r="AD1602" s="15">
        <v>188.74</v>
      </c>
      <c r="AE1602" s="15">
        <v>44.9</v>
      </c>
      <c r="AF1602" s="15">
        <v>51.95</v>
      </c>
      <c r="AG1602" s="15">
        <v>37.0</v>
      </c>
      <c r="AH1602" s="15">
        <v>83.0</v>
      </c>
      <c r="AI1602" s="15">
        <v>37.0</v>
      </c>
      <c r="AJ1602" s="15">
        <v>40.73</v>
      </c>
      <c r="AK1602" s="15">
        <v>2.03</v>
      </c>
      <c r="AL1602" s="15">
        <v>57.91</v>
      </c>
      <c r="AM1602" s="15">
        <v>48.0</v>
      </c>
      <c r="AN1602" s="15">
        <v>52.0</v>
      </c>
      <c r="AO1602" s="15">
        <v>39.0</v>
      </c>
      <c r="AP1602" s="15">
        <v>88.48</v>
      </c>
      <c r="AQ1602" s="15">
        <v>61.43</v>
      </c>
      <c r="AR1602" s="15">
        <v>17.5</v>
      </c>
      <c r="AS1602" s="15">
        <v>85.7</v>
      </c>
      <c r="AT1602" s="15">
        <v>20.0</v>
      </c>
      <c r="AU1602" s="15">
        <v>285.0</v>
      </c>
      <c r="AV1602" s="15">
        <v>44.9</v>
      </c>
      <c r="AW1602" s="15">
        <v>75.0</v>
      </c>
      <c r="AX1602" s="15">
        <v>83.0</v>
      </c>
      <c r="AY1602" s="15">
        <v>500.0</v>
      </c>
      <c r="AZ1602" s="15">
        <v>75.0</v>
      </c>
      <c r="BA1602" s="15">
        <v>32.5</v>
      </c>
      <c r="BB1602" s="15">
        <v>8.5</v>
      </c>
      <c r="BC1602" s="15">
        <v>453.6</v>
      </c>
      <c r="BD1602" s="15">
        <v>19.9</v>
      </c>
      <c r="BE1602" s="15">
        <v>252.9</v>
      </c>
      <c r="BF1602" s="15">
        <v>14.0</v>
      </c>
      <c r="BG1602" s="15">
        <v>204.75</v>
      </c>
      <c r="BH1602" s="15">
        <v>47.37</v>
      </c>
      <c r="BI1602" s="15">
        <v>32.0</v>
      </c>
      <c r="BJ1602" s="15">
        <v>19.9</v>
      </c>
      <c r="BK1602" s="15">
        <v>55.0</v>
      </c>
      <c r="BL1602" s="15">
        <v>80.5</v>
      </c>
      <c r="BM1602" s="15">
        <v>68.68</v>
      </c>
      <c r="BN1602" s="15">
        <v>135.0</v>
      </c>
      <c r="BO1602" s="15">
        <v>96.9</v>
      </c>
      <c r="BP1602" s="15">
        <v>378.99</v>
      </c>
      <c r="BQ1602" s="15">
        <v>66.89</v>
      </c>
      <c r="BR1602" s="15">
        <v>260.26</v>
      </c>
      <c r="BS1602" s="15">
        <v>37.0</v>
      </c>
      <c r="BT1602" s="15">
        <v>77.54</v>
      </c>
      <c r="BU1602" s="15">
        <v>90.0</v>
      </c>
      <c r="BV1602" s="15">
        <v>108.9</v>
      </c>
      <c r="BW1602" s="15">
        <v>308.18</v>
      </c>
      <c r="BX1602" s="15">
        <v>285.79</v>
      </c>
      <c r="BY1602" s="15">
        <v>38.8</v>
      </c>
      <c r="BZ1602" s="15">
        <v>139.9</v>
      </c>
      <c r="CA1602" s="15">
        <v>221.1</v>
      </c>
      <c r="CB1602" s="15">
        <v>9.9</v>
      </c>
      <c r="CC1602" s="15">
        <v>18.36</v>
      </c>
      <c r="CD1602" s="15">
        <v>63.7</v>
      </c>
      <c r="CE1602" s="15">
        <v>400.0</v>
      </c>
    </row>
    <row r="1603" ht="15.75" customHeight="1">
      <c r="A1603" s="35" t="s">
        <v>237</v>
      </c>
      <c r="B1603" s="15">
        <v>496.42</v>
      </c>
      <c r="C1603" s="15">
        <v>65.49</v>
      </c>
      <c r="D1603" s="15">
        <v>109.0</v>
      </c>
      <c r="E1603" s="15">
        <v>230.45</v>
      </c>
      <c r="F1603" s="15">
        <v>12.0</v>
      </c>
      <c r="G1603" s="15">
        <v>72.0</v>
      </c>
      <c r="H1603" s="15">
        <v>34.0</v>
      </c>
      <c r="I1603" s="15">
        <v>99.0</v>
      </c>
      <c r="J1603" s="15">
        <v>150.0</v>
      </c>
      <c r="K1603" s="15">
        <v>212.8</v>
      </c>
      <c r="L1603" s="15">
        <v>297.84</v>
      </c>
      <c r="M1603" s="15">
        <v>200.0</v>
      </c>
      <c r="N1603" s="15">
        <v>45.0</v>
      </c>
      <c r="O1603" s="15">
        <v>149.0</v>
      </c>
      <c r="P1603" s="15">
        <v>80.0</v>
      </c>
      <c r="Q1603" s="15">
        <v>68.0</v>
      </c>
      <c r="R1603" s="15">
        <v>75.0</v>
      </c>
      <c r="S1603" s="15">
        <v>159.0</v>
      </c>
      <c r="T1603" s="15">
        <v>59.9</v>
      </c>
      <c r="U1603" s="15">
        <v>49.0</v>
      </c>
      <c r="V1603" s="15">
        <v>109.34</v>
      </c>
      <c r="W1603" s="15">
        <v>154.45</v>
      </c>
      <c r="X1603" s="15">
        <v>100.08</v>
      </c>
      <c r="Y1603" s="15">
        <v>129.99</v>
      </c>
      <c r="Z1603" s="15">
        <v>881.27</v>
      </c>
      <c r="AA1603" s="15">
        <v>64.8</v>
      </c>
      <c r="AB1603" s="15">
        <v>88.15</v>
      </c>
      <c r="AC1603" s="15">
        <v>69.95</v>
      </c>
    </row>
    <row r="1604" ht="15.75" customHeight="1">
      <c r="A1604" s="35" t="s">
        <v>212</v>
      </c>
      <c r="B1604" s="57">
        <v>61.0</v>
      </c>
    </row>
    <row r="1605" ht="15.75" customHeight="1">
      <c r="A1605" s="55" t="s">
        <v>115</v>
      </c>
      <c r="B1605" s="57">
        <v>500.0</v>
      </c>
    </row>
    <row r="1606" ht="15.75" customHeight="1">
      <c r="A1606" s="55" t="s">
        <v>258</v>
      </c>
      <c r="B1606" s="57">
        <v>1350.0</v>
      </c>
    </row>
    <row r="1607" ht="15.75" customHeight="1">
      <c r="A1607" s="55" t="s">
        <v>259</v>
      </c>
      <c r="B1607" s="57">
        <v>500.0</v>
      </c>
    </row>
    <row r="1608" ht="15.75" customHeight="1">
      <c r="A1608" s="55" t="s">
        <v>260</v>
      </c>
      <c r="B1608" s="57">
        <v>50.0</v>
      </c>
    </row>
    <row r="1609" ht="15.75" customHeight="1">
      <c r="A1609" s="35" t="s">
        <v>88</v>
      </c>
      <c r="B1609" s="57">
        <v>108.38</v>
      </c>
    </row>
    <row r="1610" ht="15.75" customHeight="1">
      <c r="A1610" s="35" t="s">
        <v>109</v>
      </c>
      <c r="B1610" s="57">
        <v>121.98</v>
      </c>
    </row>
    <row r="1611" ht="15.75" customHeight="1">
      <c r="A1611" s="35" t="s">
        <v>83</v>
      </c>
      <c r="B1611" s="15">
        <v>46.75</v>
      </c>
    </row>
    <row r="1612" ht="15.75" customHeight="1">
      <c r="A1612" s="35"/>
    </row>
    <row r="1613" ht="15.75" customHeight="1">
      <c r="A1613" s="35" t="s">
        <v>1</v>
      </c>
    </row>
    <row r="1614" ht="15.75" customHeight="1"/>
    <row r="1615" ht="15.75" customHeight="1">
      <c r="A1615" s="18">
        <v>46082.0</v>
      </c>
      <c r="G1615" s="19" t="s">
        <v>51</v>
      </c>
    </row>
    <row r="1616" ht="15.75" customHeight="1">
      <c r="A1616" s="35" t="s">
        <v>249</v>
      </c>
      <c r="B1616" s="15">
        <v>55.61</v>
      </c>
      <c r="C1616" s="15">
        <v>123.33</v>
      </c>
      <c r="D1616" s="15">
        <v>119.44</v>
      </c>
      <c r="E1616" s="15">
        <v>51.9</v>
      </c>
      <c r="F1616" s="15">
        <v>89.0</v>
      </c>
      <c r="G1616" s="15">
        <v>75.96</v>
      </c>
      <c r="H1616" s="15">
        <v>348.2</v>
      </c>
      <c r="I1616" s="15">
        <v>36.31</v>
      </c>
      <c r="J1616" s="15">
        <v>68.26</v>
      </c>
      <c r="K1616" s="15">
        <v>82.4</v>
      </c>
      <c r="L1616" s="15">
        <v>69.5</v>
      </c>
      <c r="M1616" s="15">
        <v>91.35</v>
      </c>
      <c r="N1616" s="15">
        <v>1095.34</v>
      </c>
      <c r="O1616" s="15">
        <v>146.66</v>
      </c>
      <c r="P1616" s="15">
        <v>67.53</v>
      </c>
      <c r="Q1616" s="15">
        <v>400.0</v>
      </c>
      <c r="R1616" s="15">
        <v>104.67</v>
      </c>
      <c r="S1616" s="15">
        <v>149.64</v>
      </c>
      <c r="T1616" s="15">
        <v>403.19</v>
      </c>
      <c r="U1616" s="15">
        <v>39.52</v>
      </c>
      <c r="V1616" s="15">
        <v>43.07</v>
      </c>
      <c r="W1616" s="15">
        <v>215.5</v>
      </c>
      <c r="X1616" s="15">
        <v>34.4</v>
      </c>
      <c r="Y1616" s="15">
        <v>69.9</v>
      </c>
      <c r="Z1616" s="15">
        <v>135.96</v>
      </c>
      <c r="AA1616" s="15">
        <v>64.9</v>
      </c>
      <c r="AB1616" s="15">
        <v>10.0</v>
      </c>
      <c r="AC1616" s="15">
        <v>6.7</v>
      </c>
      <c r="AD1616" s="15">
        <v>5.9</v>
      </c>
      <c r="AE1616" s="15">
        <v>23.91</v>
      </c>
      <c r="AF1616" s="15">
        <v>31.9</v>
      </c>
      <c r="AG1616" s="15">
        <v>112.7</v>
      </c>
      <c r="AH1616" s="15">
        <v>76.0</v>
      </c>
      <c r="AI1616" s="15">
        <v>205.0</v>
      </c>
      <c r="AJ1616" s="15">
        <v>178.61</v>
      </c>
      <c r="AK1616" s="15">
        <v>21.37</v>
      </c>
      <c r="AL1616" s="15">
        <v>66.0</v>
      </c>
      <c r="AM1616" s="15">
        <v>82.0</v>
      </c>
      <c r="AN1616" s="15">
        <v>41.85</v>
      </c>
      <c r="AO1616" s="15">
        <v>10.0</v>
      </c>
      <c r="AP1616" s="15">
        <v>19.91</v>
      </c>
      <c r="AQ1616" s="15">
        <v>1.91</v>
      </c>
      <c r="AR1616" s="15">
        <v>54.68</v>
      </c>
      <c r="AS1616" s="15">
        <v>140.0</v>
      </c>
      <c r="AT1616" s="15">
        <v>455.0</v>
      </c>
      <c r="AU1616" s="15">
        <v>82.22</v>
      </c>
      <c r="AV1616" s="15">
        <v>44.55</v>
      </c>
      <c r="AW1616" s="15">
        <v>209.0</v>
      </c>
      <c r="AX1616" s="15">
        <v>45.78</v>
      </c>
      <c r="AY1616" s="15">
        <v>117.45</v>
      </c>
      <c r="AZ1616" s="15">
        <v>32.0</v>
      </c>
      <c r="BA1616" s="15">
        <v>19.73</v>
      </c>
      <c r="BB1616" s="15">
        <v>256.02</v>
      </c>
      <c r="BC1616" s="15">
        <v>79.0</v>
      </c>
      <c r="BD1616" s="15">
        <v>147.0</v>
      </c>
      <c r="BE1616" s="15">
        <v>44.9</v>
      </c>
      <c r="BF1616" s="15">
        <v>500.0</v>
      </c>
      <c r="BG1616" s="15">
        <v>12.32</v>
      </c>
      <c r="BH1616" s="15">
        <v>13.54</v>
      </c>
      <c r="BI1616" s="15">
        <v>885.0</v>
      </c>
      <c r="BJ1616" s="15">
        <v>285.0</v>
      </c>
      <c r="BK1616" s="15">
        <v>333.3</v>
      </c>
      <c r="BL1616" s="15">
        <v>144.87</v>
      </c>
      <c r="BM1616" s="15">
        <v>38.74</v>
      </c>
      <c r="BN1616" s="15">
        <v>38.4</v>
      </c>
      <c r="BO1616" s="15">
        <v>24.9</v>
      </c>
      <c r="BP1616" s="15">
        <v>75.0</v>
      </c>
      <c r="BQ1616" s="15">
        <v>19.9</v>
      </c>
      <c r="BR1616" s="15">
        <v>42.97</v>
      </c>
      <c r="BS1616" s="15">
        <v>9.0</v>
      </c>
      <c r="BT1616" s="15">
        <v>225.38</v>
      </c>
      <c r="BU1616" s="15">
        <v>100.0</v>
      </c>
      <c r="BV1616" s="15">
        <v>112.0</v>
      </c>
      <c r="BW1616" s="15">
        <v>80.0</v>
      </c>
      <c r="BX1616" s="15">
        <v>96.0</v>
      </c>
      <c r="BY1616" s="15">
        <v>177.0</v>
      </c>
      <c r="BZ1616" s="15">
        <v>30.0</v>
      </c>
      <c r="CA1616" s="15">
        <v>224.4</v>
      </c>
      <c r="CB1616" s="15">
        <v>16.0</v>
      </c>
      <c r="CC1616" s="15">
        <v>42.75</v>
      </c>
      <c r="CD1616" s="15">
        <v>13.3</v>
      </c>
      <c r="CE1616" s="15">
        <v>7.99</v>
      </c>
      <c r="CF1616" s="15">
        <v>11.48</v>
      </c>
      <c r="CG1616" s="15">
        <v>15.28</v>
      </c>
      <c r="CH1616" s="15">
        <v>172.75</v>
      </c>
      <c r="CI1616" s="15">
        <v>56.06</v>
      </c>
      <c r="CJ1616" s="15">
        <v>67.77</v>
      </c>
      <c r="CK1616" s="15">
        <v>7.0</v>
      </c>
      <c r="CL1616" s="15">
        <v>83.84</v>
      </c>
      <c r="CM1616" s="15">
        <v>78.0</v>
      </c>
    </row>
    <row r="1617" ht="15.75" customHeight="1">
      <c r="A1617" s="35" t="s">
        <v>237</v>
      </c>
      <c r="B1617" s="15">
        <v>65.49</v>
      </c>
      <c r="C1617" s="57">
        <v>109.33</v>
      </c>
      <c r="D1617" s="36">
        <v>154.45</v>
      </c>
      <c r="E1617" s="57">
        <v>100.07</v>
      </c>
      <c r="F1617" s="57">
        <v>129.98</v>
      </c>
      <c r="G1617" s="57">
        <v>881.19</v>
      </c>
      <c r="H1617" s="36">
        <v>64.8</v>
      </c>
      <c r="I1617" s="36">
        <v>88.15</v>
      </c>
      <c r="J1617" s="15">
        <v>69.95</v>
      </c>
      <c r="K1617" s="15">
        <v>90.0</v>
      </c>
      <c r="L1617" s="15">
        <v>149.97</v>
      </c>
      <c r="M1617" s="15">
        <v>599.01</v>
      </c>
      <c r="N1617" s="15">
        <v>16.5</v>
      </c>
      <c r="O1617" s="15">
        <v>15.87</v>
      </c>
      <c r="P1617" s="15">
        <v>59.9</v>
      </c>
      <c r="Q1617" s="15">
        <v>232.1</v>
      </c>
      <c r="R1617" s="15">
        <v>104.0</v>
      </c>
      <c r="S1617" s="15">
        <v>11.39</v>
      </c>
      <c r="T1617" s="15">
        <v>50.39</v>
      </c>
      <c r="U1617" s="16"/>
      <c r="V1617" s="16"/>
      <c r="W1617" s="16"/>
      <c r="X1617" s="16"/>
      <c r="Y1617" s="16"/>
      <c r="Z1617" s="16"/>
      <c r="AA1617" s="16"/>
      <c r="AB1617" s="16"/>
    </row>
    <row r="1618" ht="15.75" customHeight="1">
      <c r="A1618" s="35" t="s">
        <v>212</v>
      </c>
      <c r="B1618" s="60">
        <v>61.0</v>
      </c>
    </row>
    <row r="1619" ht="15.75" customHeight="1">
      <c r="A1619" s="55" t="s">
        <v>115</v>
      </c>
      <c r="B1619" s="60">
        <v>500.0</v>
      </c>
    </row>
    <row r="1620" ht="15.75" customHeight="1">
      <c r="A1620" s="55" t="s">
        <v>258</v>
      </c>
      <c r="B1620" s="60">
        <v>1000.0</v>
      </c>
    </row>
    <row r="1621" ht="15.75" customHeight="1">
      <c r="A1621" s="55" t="s">
        <v>259</v>
      </c>
      <c r="B1621" s="60">
        <v>500.0</v>
      </c>
    </row>
    <row r="1622" ht="15.75" customHeight="1">
      <c r="A1622" s="55" t="s">
        <v>260</v>
      </c>
      <c r="B1622" s="60">
        <v>50.0</v>
      </c>
    </row>
    <row r="1623" ht="15.75" customHeight="1">
      <c r="A1623" s="35" t="s">
        <v>88</v>
      </c>
      <c r="B1623" s="60">
        <v>112.0</v>
      </c>
    </row>
    <row r="1624" ht="15.75" customHeight="1">
      <c r="A1624" s="35" t="s">
        <v>109</v>
      </c>
      <c r="B1624" s="60">
        <v>124.0</v>
      </c>
    </row>
    <row r="1625" ht="15.75" customHeight="1">
      <c r="A1625" s="35" t="s">
        <v>83</v>
      </c>
      <c r="B1625" s="15">
        <v>46.75</v>
      </c>
    </row>
    <row r="1626" ht="15.75" customHeight="1">
      <c r="A1626" s="35"/>
    </row>
    <row r="1627" ht="15.75" customHeight="1">
      <c r="A1627" s="35" t="s">
        <v>1</v>
      </c>
    </row>
    <row r="1628" ht="15.75" customHeight="1"/>
    <row r="1629" ht="15.75" customHeight="1">
      <c r="A1629" s="18">
        <v>46113.0</v>
      </c>
      <c r="F1629" s="19" t="s">
        <v>51</v>
      </c>
    </row>
    <row r="1630" ht="15.75" customHeight="1">
      <c r="A1630" s="35" t="s">
        <v>249</v>
      </c>
      <c r="B1630" s="19">
        <v>55.63</v>
      </c>
      <c r="C1630" s="19">
        <v>119.45</v>
      </c>
      <c r="D1630" s="19">
        <v>51.9</v>
      </c>
      <c r="E1630" s="19">
        <v>89.0</v>
      </c>
      <c r="F1630" s="19">
        <v>75.96</v>
      </c>
      <c r="G1630" s="19">
        <v>348.2</v>
      </c>
      <c r="H1630" s="19">
        <v>36.34</v>
      </c>
      <c r="I1630" s="19">
        <v>68.26</v>
      </c>
      <c r="J1630" s="19">
        <v>82.4</v>
      </c>
      <c r="K1630" s="19">
        <v>69.5</v>
      </c>
      <c r="L1630" s="19">
        <v>1095.38</v>
      </c>
      <c r="M1630" s="19">
        <v>67.54</v>
      </c>
      <c r="N1630" s="19">
        <v>149.64</v>
      </c>
      <c r="O1630" s="19">
        <v>76.0</v>
      </c>
      <c r="P1630" s="19">
        <v>885.0</v>
      </c>
      <c r="Q1630" s="19">
        <v>54.9</v>
      </c>
    </row>
    <row r="1631" ht="15.75" customHeight="1">
      <c r="A1631" s="35" t="s">
        <v>237</v>
      </c>
      <c r="B1631" s="37">
        <v>109.34</v>
      </c>
      <c r="C1631" s="37">
        <v>100.08</v>
      </c>
      <c r="D1631" s="37">
        <v>129.99</v>
      </c>
      <c r="E1631" s="37">
        <v>881.27</v>
      </c>
      <c r="G1631" s="37"/>
      <c r="H1631" s="37"/>
    </row>
    <row r="1632" ht="15.75" customHeight="1">
      <c r="A1632" s="35" t="s">
        <v>212</v>
      </c>
      <c r="B1632" s="60">
        <v>61.0</v>
      </c>
    </row>
    <row r="1633" ht="15.75" customHeight="1">
      <c r="A1633" s="55" t="s">
        <v>115</v>
      </c>
      <c r="B1633" s="60">
        <v>500.0</v>
      </c>
    </row>
    <row r="1634" ht="15.75" customHeight="1">
      <c r="A1634" s="55" t="s">
        <v>258</v>
      </c>
      <c r="B1634" s="60">
        <v>3150.0</v>
      </c>
    </row>
    <row r="1635" ht="15.75" customHeight="1">
      <c r="A1635" s="55" t="s">
        <v>259</v>
      </c>
      <c r="B1635" s="60">
        <v>500.0</v>
      </c>
    </row>
    <row r="1636" ht="15.75" customHeight="1">
      <c r="A1636" s="55" t="s">
        <v>260</v>
      </c>
      <c r="B1636" s="60">
        <v>50.0</v>
      </c>
    </row>
    <row r="1637" ht="15.75" customHeight="1">
      <c r="A1637" s="35" t="s">
        <v>88</v>
      </c>
      <c r="B1637" s="60">
        <v>112.0</v>
      </c>
    </row>
    <row r="1638" ht="15.75" customHeight="1">
      <c r="A1638" s="35" t="s">
        <v>109</v>
      </c>
      <c r="B1638" s="60">
        <v>124.0</v>
      </c>
    </row>
    <row r="1639" ht="15.75" customHeight="1">
      <c r="A1639" s="35" t="s">
        <v>83</v>
      </c>
      <c r="B1639" s="19">
        <v>46.75</v>
      </c>
    </row>
    <row r="1640" ht="15.75" customHeight="1">
      <c r="A1640" s="35"/>
    </row>
    <row r="1641" ht="15.75" customHeight="1">
      <c r="A1641" s="35" t="s">
        <v>1</v>
      </c>
    </row>
    <row r="1642" ht="15.75" customHeight="1"/>
    <row r="1643" ht="15.75" customHeight="1">
      <c r="A1643" s="18">
        <v>46143.0</v>
      </c>
    </row>
    <row r="1644" ht="15.75" customHeight="1">
      <c r="A1644" s="35" t="s">
        <v>249</v>
      </c>
      <c r="B1644" s="19">
        <v>51.9</v>
      </c>
      <c r="C1644" s="19">
        <v>89.0</v>
      </c>
      <c r="D1644" s="19">
        <v>68.26</v>
      </c>
      <c r="E1644" s="19">
        <v>1095.38</v>
      </c>
      <c r="F1644" s="19">
        <v>67.54</v>
      </c>
      <c r="G1644" s="19">
        <v>149.64</v>
      </c>
      <c r="H1644" s="19">
        <v>76.0</v>
      </c>
      <c r="I1644" s="19">
        <v>885.0</v>
      </c>
      <c r="J1644" s="19">
        <v>54.9</v>
      </c>
    </row>
    <row r="1645" ht="15.75" customHeight="1">
      <c r="A1645" s="35" t="s">
        <v>237</v>
      </c>
      <c r="B1645" s="37">
        <v>100.08</v>
      </c>
      <c r="C1645" s="37">
        <v>129.99</v>
      </c>
      <c r="D1645" s="37">
        <v>881.27</v>
      </c>
    </row>
    <row r="1646" ht="15.75" customHeight="1">
      <c r="A1646" s="35" t="s">
        <v>212</v>
      </c>
      <c r="B1646" s="60">
        <v>61.0</v>
      </c>
    </row>
    <row r="1647" ht="15.75" customHeight="1">
      <c r="A1647" s="55" t="s">
        <v>115</v>
      </c>
      <c r="B1647" s="60">
        <v>500.0</v>
      </c>
    </row>
    <row r="1648" ht="15.75" customHeight="1">
      <c r="A1648" s="55" t="s">
        <v>258</v>
      </c>
      <c r="B1648" s="60">
        <v>3150.0</v>
      </c>
    </row>
    <row r="1649" ht="15.75" customHeight="1">
      <c r="A1649" s="55" t="s">
        <v>259</v>
      </c>
      <c r="B1649" s="60">
        <v>500.0</v>
      </c>
    </row>
    <row r="1650" ht="15.75" customHeight="1">
      <c r="A1650" s="55" t="s">
        <v>260</v>
      </c>
      <c r="B1650" s="60">
        <v>50.0</v>
      </c>
    </row>
    <row r="1651" ht="15.75" customHeight="1">
      <c r="A1651" s="35" t="s">
        <v>88</v>
      </c>
      <c r="B1651" s="60">
        <v>112.0</v>
      </c>
    </row>
    <row r="1652" ht="15.75" customHeight="1">
      <c r="A1652" s="35" t="s">
        <v>109</v>
      </c>
      <c r="B1652" s="60">
        <v>124.0</v>
      </c>
    </row>
    <row r="1653" ht="15.75" customHeight="1">
      <c r="A1653" s="35" t="s">
        <v>83</v>
      </c>
      <c r="B1653" s="19">
        <v>46.75</v>
      </c>
    </row>
    <row r="1654" ht="15.75" customHeight="1">
      <c r="A1654" s="35"/>
    </row>
    <row r="1655" ht="15.75" customHeight="1">
      <c r="A1655" s="35" t="s">
        <v>1</v>
      </c>
    </row>
    <row r="1656" ht="15.75" customHeight="1"/>
    <row r="1657" ht="15.75" customHeight="1">
      <c r="A1657" s="18">
        <v>46174.0</v>
      </c>
    </row>
    <row r="1658" ht="15.75" customHeight="1">
      <c r="A1658" s="35" t="s">
        <v>249</v>
      </c>
      <c r="B1658" s="19">
        <v>51.9</v>
      </c>
      <c r="C1658" s="19">
        <v>89.0</v>
      </c>
      <c r="D1658" s="19">
        <v>68.26</v>
      </c>
      <c r="E1658" s="19">
        <v>1095.38</v>
      </c>
      <c r="F1658" s="19">
        <v>149.64</v>
      </c>
      <c r="G1658" s="19">
        <v>76.0</v>
      </c>
      <c r="H1658" s="19">
        <v>885.0</v>
      </c>
    </row>
    <row r="1659" ht="15.75" customHeight="1">
      <c r="A1659" s="35" t="s">
        <v>237</v>
      </c>
      <c r="B1659" s="37">
        <v>129.99</v>
      </c>
      <c r="C1659" s="37">
        <v>881.27</v>
      </c>
    </row>
    <row r="1660" ht="15.75" customHeight="1">
      <c r="A1660" s="35" t="s">
        <v>212</v>
      </c>
      <c r="B1660" s="60">
        <v>61.0</v>
      </c>
    </row>
    <row r="1661" ht="15.75" customHeight="1">
      <c r="A1661" s="55" t="s">
        <v>115</v>
      </c>
      <c r="B1661" s="60">
        <v>500.0</v>
      </c>
    </row>
    <row r="1662" ht="15.75" customHeight="1">
      <c r="A1662" s="55" t="s">
        <v>258</v>
      </c>
      <c r="B1662" s="60">
        <v>3150.0</v>
      </c>
    </row>
    <row r="1663" ht="15.75" customHeight="1">
      <c r="A1663" s="55" t="s">
        <v>259</v>
      </c>
      <c r="B1663" s="60">
        <v>500.0</v>
      </c>
    </row>
    <row r="1664" ht="15.75" customHeight="1">
      <c r="A1664" s="55" t="s">
        <v>260</v>
      </c>
      <c r="B1664" s="60">
        <v>50.0</v>
      </c>
    </row>
    <row r="1665" ht="15.75" customHeight="1">
      <c r="A1665" s="35" t="s">
        <v>88</v>
      </c>
      <c r="B1665" s="60">
        <v>112.0</v>
      </c>
    </row>
    <row r="1666" ht="15.75" customHeight="1">
      <c r="A1666" s="35" t="s">
        <v>109</v>
      </c>
      <c r="B1666" s="60">
        <v>124.0</v>
      </c>
    </row>
    <row r="1667" ht="15.75" customHeight="1">
      <c r="A1667" s="35" t="s">
        <v>83</v>
      </c>
      <c r="B1667" s="19">
        <v>46.75</v>
      </c>
    </row>
    <row r="1668" ht="15.75" customHeight="1">
      <c r="A1668" s="35"/>
    </row>
    <row r="1669" ht="15.75" customHeight="1">
      <c r="A1669" s="35" t="s">
        <v>1</v>
      </c>
    </row>
    <row r="1670" ht="15.75" customHeight="1"/>
    <row r="1671" ht="15.75" customHeight="1">
      <c r="A1671" s="18">
        <v>46204.0</v>
      </c>
    </row>
    <row r="1672" ht="15.75" customHeight="1">
      <c r="A1672" s="35" t="s">
        <v>249</v>
      </c>
      <c r="B1672" s="19">
        <v>51.9</v>
      </c>
      <c r="C1672" s="19">
        <v>89.0</v>
      </c>
      <c r="D1672" s="19">
        <v>1095.38</v>
      </c>
      <c r="E1672" s="19">
        <v>149.64</v>
      </c>
      <c r="F1672" s="19">
        <v>76.0</v>
      </c>
      <c r="G1672" s="19">
        <v>885.0</v>
      </c>
    </row>
    <row r="1673" ht="15.75" customHeight="1">
      <c r="A1673" s="35" t="s">
        <v>237</v>
      </c>
      <c r="B1673" s="37">
        <v>881.27</v>
      </c>
    </row>
    <row r="1674" ht="15.75" customHeight="1">
      <c r="A1674" s="35" t="s">
        <v>212</v>
      </c>
      <c r="B1674" s="60">
        <v>61.0</v>
      </c>
    </row>
    <row r="1675" ht="15.75" customHeight="1">
      <c r="A1675" s="55" t="s">
        <v>115</v>
      </c>
      <c r="B1675" s="60">
        <v>500.0</v>
      </c>
    </row>
    <row r="1676" ht="15.75" customHeight="1">
      <c r="A1676" s="55" t="s">
        <v>258</v>
      </c>
      <c r="B1676" s="60">
        <v>3150.0</v>
      </c>
    </row>
    <row r="1677" ht="15.75" customHeight="1">
      <c r="A1677" s="55" t="s">
        <v>259</v>
      </c>
      <c r="B1677" s="60">
        <v>500.0</v>
      </c>
    </row>
    <row r="1678" ht="15.75" customHeight="1">
      <c r="A1678" s="55" t="s">
        <v>260</v>
      </c>
      <c r="B1678" s="60">
        <v>50.0</v>
      </c>
    </row>
    <row r="1679" ht="15.75" customHeight="1">
      <c r="A1679" s="35" t="s">
        <v>88</v>
      </c>
      <c r="B1679" s="60">
        <v>112.0</v>
      </c>
    </row>
    <row r="1680" ht="15.75" customHeight="1">
      <c r="A1680" s="35" t="s">
        <v>109</v>
      </c>
      <c r="B1680" s="60">
        <v>124.0</v>
      </c>
    </row>
    <row r="1681" ht="15.75" customHeight="1">
      <c r="A1681" s="35" t="s">
        <v>83</v>
      </c>
      <c r="B1681" s="19">
        <v>46.75</v>
      </c>
    </row>
    <row r="1682" ht="15.75" customHeight="1">
      <c r="A1682" s="35"/>
    </row>
    <row r="1683" ht="15.75" customHeight="1">
      <c r="A1683" s="35" t="s">
        <v>1</v>
      </c>
    </row>
    <row r="1684" ht="15.75" customHeight="1"/>
    <row r="1685" ht="15.75" customHeight="1">
      <c r="A1685" s="18">
        <v>46235.0</v>
      </c>
    </row>
    <row r="1686" ht="15.75" customHeight="1">
      <c r="A1686" s="35" t="s">
        <v>249</v>
      </c>
      <c r="B1686" s="19">
        <v>51.9</v>
      </c>
      <c r="C1686" s="19">
        <v>89.0</v>
      </c>
      <c r="D1686" s="19">
        <v>1095.38</v>
      </c>
      <c r="E1686" s="19">
        <v>76.0</v>
      </c>
    </row>
    <row r="1687" ht="15.75" customHeight="1">
      <c r="A1687" s="35" t="s">
        <v>237</v>
      </c>
      <c r="B1687" s="37">
        <v>881.27</v>
      </c>
    </row>
    <row r="1688" ht="15.75" customHeight="1">
      <c r="A1688" s="35" t="s">
        <v>212</v>
      </c>
      <c r="B1688" s="60">
        <v>61.0</v>
      </c>
    </row>
    <row r="1689" ht="15.75" customHeight="1">
      <c r="A1689" s="55" t="s">
        <v>115</v>
      </c>
      <c r="B1689" s="60">
        <v>500.0</v>
      </c>
    </row>
    <row r="1690" ht="15.75" customHeight="1">
      <c r="A1690" s="55" t="s">
        <v>258</v>
      </c>
      <c r="B1690" s="60">
        <v>3150.0</v>
      </c>
    </row>
    <row r="1691" ht="15.75" customHeight="1">
      <c r="A1691" s="55" t="s">
        <v>259</v>
      </c>
      <c r="B1691" s="60">
        <v>500.0</v>
      </c>
    </row>
    <row r="1692" ht="15.75" customHeight="1">
      <c r="A1692" s="55" t="s">
        <v>260</v>
      </c>
      <c r="B1692" s="60">
        <v>50.0</v>
      </c>
    </row>
    <row r="1693" ht="15.75" customHeight="1">
      <c r="A1693" s="35" t="s">
        <v>88</v>
      </c>
      <c r="B1693" s="60">
        <v>112.0</v>
      </c>
    </row>
    <row r="1694" ht="15.75" customHeight="1">
      <c r="A1694" s="35" t="s">
        <v>109</v>
      </c>
      <c r="B1694" s="60">
        <v>124.0</v>
      </c>
    </row>
    <row r="1695" ht="15.75" customHeight="1">
      <c r="A1695" s="35" t="s">
        <v>83</v>
      </c>
      <c r="B1695" s="19">
        <v>46.75</v>
      </c>
    </row>
    <row r="1696" ht="15.75" customHeight="1">
      <c r="A1696" s="35"/>
    </row>
    <row r="1697" ht="15.75" customHeight="1">
      <c r="A1697" s="35" t="s">
        <v>1</v>
      </c>
    </row>
    <row r="1698" ht="15.75" customHeight="1"/>
    <row r="1699" ht="15.75" customHeight="1">
      <c r="A1699" s="18">
        <v>46266.0</v>
      </c>
    </row>
    <row r="1700" ht="15.75" customHeight="1">
      <c r="A1700" s="35" t="s">
        <v>249</v>
      </c>
      <c r="B1700" s="19">
        <v>89.0</v>
      </c>
      <c r="C1700" s="19">
        <v>1095.38</v>
      </c>
      <c r="D1700" s="19">
        <v>76.0</v>
      </c>
    </row>
    <row r="1701" ht="15.75" customHeight="1">
      <c r="A1701" s="35" t="s">
        <v>237</v>
      </c>
      <c r="B1701" s="37">
        <v>881.27</v>
      </c>
    </row>
    <row r="1702" ht="15.75" customHeight="1">
      <c r="A1702" s="35" t="s">
        <v>212</v>
      </c>
      <c r="B1702" s="60">
        <v>61.0</v>
      </c>
    </row>
    <row r="1703" ht="15.75" customHeight="1">
      <c r="A1703" s="55" t="s">
        <v>115</v>
      </c>
      <c r="B1703" s="60">
        <v>500.0</v>
      </c>
    </row>
    <row r="1704" ht="15.75" customHeight="1">
      <c r="A1704" s="55" t="s">
        <v>258</v>
      </c>
      <c r="B1704" s="60">
        <v>3150.0</v>
      </c>
    </row>
    <row r="1705" ht="15.75" customHeight="1">
      <c r="A1705" s="55" t="s">
        <v>259</v>
      </c>
      <c r="B1705" s="60">
        <v>500.0</v>
      </c>
    </row>
    <row r="1706" ht="15.75" customHeight="1">
      <c r="A1706" s="55" t="s">
        <v>260</v>
      </c>
      <c r="B1706" s="60">
        <v>50.0</v>
      </c>
    </row>
    <row r="1707" ht="15.75" customHeight="1">
      <c r="A1707" s="35" t="s">
        <v>88</v>
      </c>
      <c r="B1707" s="60">
        <v>112.0</v>
      </c>
    </row>
    <row r="1708" ht="15.75" customHeight="1">
      <c r="A1708" s="35" t="s">
        <v>109</v>
      </c>
      <c r="B1708" s="60">
        <v>124.0</v>
      </c>
    </row>
    <row r="1709" ht="15.75" customHeight="1">
      <c r="A1709" s="35" t="s">
        <v>83</v>
      </c>
      <c r="B1709" s="19">
        <v>46.75</v>
      </c>
    </row>
    <row r="1710" ht="15.75" customHeight="1">
      <c r="A1710" s="35"/>
    </row>
    <row r="1711" ht="15.75" customHeight="1">
      <c r="A1711" s="35" t="s">
        <v>1</v>
      </c>
    </row>
    <row r="1712" ht="15.75" customHeight="1"/>
    <row r="1713" ht="15.75" customHeight="1">
      <c r="A1713" s="18">
        <v>46296.0</v>
      </c>
    </row>
    <row r="1714" ht="15.75" customHeight="1">
      <c r="A1714" s="35" t="s">
        <v>249</v>
      </c>
      <c r="B1714" s="19">
        <v>89.0</v>
      </c>
      <c r="C1714" s="19">
        <v>1095.38</v>
      </c>
      <c r="D1714" s="19">
        <v>76.0</v>
      </c>
    </row>
    <row r="1715" ht="15.75" customHeight="1">
      <c r="A1715" s="35" t="s">
        <v>237</v>
      </c>
      <c r="B1715" s="37">
        <v>881.27</v>
      </c>
    </row>
    <row r="1716" ht="15.75" customHeight="1">
      <c r="A1716" s="35" t="s">
        <v>212</v>
      </c>
      <c r="B1716" s="60">
        <v>61.0</v>
      </c>
    </row>
    <row r="1717" ht="15.75" customHeight="1">
      <c r="A1717" s="55" t="s">
        <v>115</v>
      </c>
      <c r="B1717" s="60">
        <v>500.0</v>
      </c>
    </row>
    <row r="1718" ht="15.75" customHeight="1">
      <c r="A1718" s="55" t="s">
        <v>258</v>
      </c>
      <c r="B1718" s="60">
        <v>3150.0</v>
      </c>
    </row>
    <row r="1719" ht="15.75" customHeight="1">
      <c r="A1719" s="55" t="s">
        <v>259</v>
      </c>
      <c r="B1719" s="60">
        <v>500.0</v>
      </c>
    </row>
    <row r="1720" ht="15.75" customHeight="1">
      <c r="A1720" s="55" t="s">
        <v>260</v>
      </c>
      <c r="B1720" s="60">
        <v>50.0</v>
      </c>
    </row>
    <row r="1721" ht="15.75" customHeight="1">
      <c r="A1721" s="35" t="s">
        <v>88</v>
      </c>
      <c r="B1721" s="60">
        <v>112.0</v>
      </c>
    </row>
    <row r="1722" ht="15.75" customHeight="1">
      <c r="A1722" s="35" t="s">
        <v>109</v>
      </c>
      <c r="B1722" s="60">
        <v>124.0</v>
      </c>
    </row>
    <row r="1723" ht="15.75" customHeight="1">
      <c r="A1723" s="35" t="s">
        <v>83</v>
      </c>
      <c r="B1723" s="19">
        <v>46.75</v>
      </c>
    </row>
    <row r="1724" ht="15.75" customHeight="1">
      <c r="A1724" s="35"/>
    </row>
    <row r="1725" ht="15.75" customHeight="1">
      <c r="A1725" s="35" t="s">
        <v>1</v>
      </c>
    </row>
    <row r="1726" ht="15.75" customHeight="1"/>
    <row r="1727" ht="15.75" customHeight="1">
      <c r="A1727" s="18">
        <v>46327.0</v>
      </c>
    </row>
    <row r="1728" ht="15.75" customHeight="1">
      <c r="A1728" s="35" t="s">
        <v>249</v>
      </c>
      <c r="B1728" s="19">
        <v>89.0</v>
      </c>
      <c r="C1728" s="19">
        <v>76.0</v>
      </c>
    </row>
    <row r="1729" ht="15.75" customHeight="1">
      <c r="A1729" s="35" t="s">
        <v>237</v>
      </c>
      <c r="B1729" s="37">
        <v>881.27</v>
      </c>
    </row>
    <row r="1730" ht="15.75" customHeight="1">
      <c r="A1730" s="35" t="s">
        <v>212</v>
      </c>
      <c r="B1730" s="60">
        <v>61.0</v>
      </c>
    </row>
    <row r="1731" ht="15.75" customHeight="1">
      <c r="A1731" s="55" t="s">
        <v>115</v>
      </c>
      <c r="B1731" s="60">
        <v>500.0</v>
      </c>
    </row>
    <row r="1732" ht="15.75" customHeight="1">
      <c r="A1732" s="55" t="s">
        <v>258</v>
      </c>
      <c r="B1732" s="60">
        <v>3150.0</v>
      </c>
    </row>
    <row r="1733" ht="15.75" customHeight="1">
      <c r="A1733" s="55" t="s">
        <v>259</v>
      </c>
      <c r="B1733" s="60">
        <v>500.0</v>
      </c>
    </row>
    <row r="1734" ht="15.75" customHeight="1">
      <c r="A1734" s="55" t="s">
        <v>260</v>
      </c>
      <c r="B1734" s="60">
        <v>50.0</v>
      </c>
    </row>
    <row r="1735" ht="15.75" customHeight="1">
      <c r="A1735" s="35" t="s">
        <v>88</v>
      </c>
      <c r="B1735" s="60">
        <v>112.0</v>
      </c>
    </row>
    <row r="1736" ht="15.75" customHeight="1">
      <c r="A1736" s="35" t="s">
        <v>109</v>
      </c>
      <c r="B1736" s="60">
        <v>124.0</v>
      </c>
    </row>
    <row r="1737" ht="15.75" customHeight="1">
      <c r="A1737" s="35" t="s">
        <v>83</v>
      </c>
      <c r="B1737" s="19">
        <v>46.75</v>
      </c>
    </row>
    <row r="1738" ht="15.75" customHeight="1">
      <c r="A1738" s="35"/>
    </row>
    <row r="1739" ht="15.75" customHeight="1">
      <c r="A1739" s="35" t="s">
        <v>1</v>
      </c>
    </row>
    <row r="1740" ht="15.75" customHeight="1"/>
    <row r="1741" ht="15.75" customHeight="1">
      <c r="A1741" s="18">
        <v>46357.0</v>
      </c>
    </row>
    <row r="1742" ht="15.75" customHeight="1">
      <c r="A1742" s="35" t="s">
        <v>249</v>
      </c>
      <c r="B1742" s="19">
        <v>89.0</v>
      </c>
      <c r="C1742" s="19">
        <v>76.0</v>
      </c>
    </row>
    <row r="1743" ht="15.75" customHeight="1">
      <c r="A1743" s="35" t="s">
        <v>237</v>
      </c>
      <c r="B1743" s="37">
        <v>881.27</v>
      </c>
    </row>
    <row r="1744" ht="15.75" customHeight="1">
      <c r="A1744" s="35" t="s">
        <v>212</v>
      </c>
      <c r="B1744" s="60">
        <v>61.0</v>
      </c>
    </row>
    <row r="1745" ht="15.75" customHeight="1">
      <c r="A1745" s="55" t="s">
        <v>115</v>
      </c>
      <c r="B1745" s="60">
        <v>500.0</v>
      </c>
    </row>
    <row r="1746" ht="15.75" customHeight="1">
      <c r="A1746" s="55" t="s">
        <v>258</v>
      </c>
      <c r="B1746" s="60">
        <v>3150.0</v>
      </c>
    </row>
    <row r="1747" ht="15.75" customHeight="1">
      <c r="A1747" s="55" t="s">
        <v>259</v>
      </c>
      <c r="B1747" s="60">
        <v>500.0</v>
      </c>
    </row>
    <row r="1748" ht="15.75" customHeight="1">
      <c r="A1748" s="55" t="s">
        <v>260</v>
      </c>
      <c r="B1748" s="60">
        <v>50.0</v>
      </c>
    </row>
    <row r="1749" ht="15.75" customHeight="1">
      <c r="A1749" s="35" t="s">
        <v>88</v>
      </c>
      <c r="B1749" s="60">
        <v>112.0</v>
      </c>
    </row>
    <row r="1750" ht="15.75" customHeight="1">
      <c r="A1750" s="35" t="s">
        <v>109</v>
      </c>
      <c r="B1750" s="60">
        <v>124.0</v>
      </c>
    </row>
    <row r="1751" ht="15.75" customHeight="1">
      <c r="A1751" s="35" t="s">
        <v>83</v>
      </c>
      <c r="B1751" s="19">
        <v>46.75</v>
      </c>
    </row>
    <row r="1752" ht="15.75" customHeight="1">
      <c r="A1752" s="35"/>
    </row>
    <row r="1753" ht="15.75" customHeight="1">
      <c r="A1753" s="35" t="s">
        <v>1</v>
      </c>
    </row>
    <row r="1754" ht="15.75" customHeight="1"/>
    <row r="1755" ht="15.75" customHeight="1">
      <c r="A1755" s="18">
        <v>46388.0</v>
      </c>
    </row>
    <row r="1756" ht="15.75" customHeight="1">
      <c r="A1756" s="35" t="s">
        <v>249</v>
      </c>
      <c r="B1756" s="19">
        <v>89.0</v>
      </c>
      <c r="C1756" s="19">
        <v>76.0</v>
      </c>
    </row>
    <row r="1757" ht="15.75" customHeight="1">
      <c r="A1757" s="35" t="s">
        <v>237</v>
      </c>
      <c r="B1757" s="37">
        <v>881.27</v>
      </c>
    </row>
    <row r="1758" ht="15.75" customHeight="1">
      <c r="A1758" s="35" t="s">
        <v>212</v>
      </c>
      <c r="B1758" s="60">
        <v>61.0</v>
      </c>
    </row>
    <row r="1759" ht="15.75" customHeight="1">
      <c r="A1759" s="55" t="s">
        <v>115</v>
      </c>
      <c r="B1759" s="60">
        <v>500.0</v>
      </c>
    </row>
    <row r="1760" ht="15.75" customHeight="1">
      <c r="A1760" s="55" t="s">
        <v>258</v>
      </c>
      <c r="B1760" s="60">
        <v>3150.0</v>
      </c>
    </row>
    <row r="1761" ht="15.75" customHeight="1">
      <c r="A1761" s="55" t="s">
        <v>259</v>
      </c>
      <c r="B1761" s="60">
        <v>500.0</v>
      </c>
    </row>
    <row r="1762" ht="15.75" customHeight="1">
      <c r="A1762" s="55" t="s">
        <v>260</v>
      </c>
      <c r="B1762" s="60">
        <v>50.0</v>
      </c>
    </row>
    <row r="1763" ht="15.75" customHeight="1">
      <c r="A1763" s="35" t="s">
        <v>88</v>
      </c>
      <c r="B1763" s="60">
        <v>112.0</v>
      </c>
    </row>
    <row r="1764" ht="15.75" customHeight="1">
      <c r="A1764" s="35" t="s">
        <v>109</v>
      </c>
      <c r="B1764" s="60">
        <v>124.0</v>
      </c>
    </row>
    <row r="1765" ht="15.75" customHeight="1">
      <c r="A1765" s="35" t="s">
        <v>83</v>
      </c>
    </row>
    <row r="1766" ht="15.75" customHeight="1">
      <c r="A1766" s="35"/>
    </row>
    <row r="1767" ht="15.75" customHeight="1">
      <c r="A1767" s="35" t="s">
        <v>1</v>
      </c>
    </row>
    <row r="1768" ht="15.75" customHeight="1"/>
    <row r="1769" ht="15.75" customHeight="1">
      <c r="A1769" s="18">
        <v>46419.0</v>
      </c>
    </row>
    <row r="1770" ht="15.75" customHeight="1">
      <c r="A1770" s="35" t="s">
        <v>249</v>
      </c>
      <c r="B1770" s="19">
        <v>89.0</v>
      </c>
      <c r="C1770" s="19">
        <v>76.0</v>
      </c>
    </row>
    <row r="1771" ht="15.75" customHeight="1">
      <c r="A1771" s="35" t="s">
        <v>237</v>
      </c>
    </row>
    <row r="1772" ht="15.75" customHeight="1">
      <c r="A1772" s="35" t="s">
        <v>212</v>
      </c>
      <c r="B1772" s="60">
        <v>61.0</v>
      </c>
    </row>
    <row r="1773" ht="15.75" customHeight="1">
      <c r="A1773" s="55" t="s">
        <v>115</v>
      </c>
      <c r="B1773" s="60">
        <v>500.0</v>
      </c>
    </row>
    <row r="1774" ht="15.75" customHeight="1">
      <c r="A1774" s="55" t="s">
        <v>258</v>
      </c>
      <c r="B1774" s="60">
        <v>3150.0</v>
      </c>
    </row>
    <row r="1775" ht="15.75" customHeight="1">
      <c r="A1775" s="55" t="s">
        <v>259</v>
      </c>
      <c r="B1775" s="60">
        <v>500.0</v>
      </c>
    </row>
    <row r="1776" ht="15.75" customHeight="1">
      <c r="A1776" s="55" t="s">
        <v>260</v>
      </c>
      <c r="B1776" s="60">
        <v>50.0</v>
      </c>
    </row>
    <row r="1777" ht="15.75" customHeight="1">
      <c r="A1777" s="35" t="s">
        <v>88</v>
      </c>
      <c r="B1777" s="60">
        <v>112.0</v>
      </c>
    </row>
    <row r="1778" ht="15.75" customHeight="1">
      <c r="A1778" s="35" t="s">
        <v>109</v>
      </c>
      <c r="B1778" s="60">
        <v>124.0</v>
      </c>
    </row>
    <row r="1779" ht="15.75" customHeight="1">
      <c r="A1779" s="35" t="s">
        <v>83</v>
      </c>
    </row>
    <row r="1780" ht="15.75" customHeight="1">
      <c r="A1780" s="35"/>
    </row>
    <row r="1781" ht="15.75" customHeight="1">
      <c r="A1781" s="35" t="s">
        <v>1</v>
      </c>
    </row>
    <row r="1782" ht="15.75" customHeight="1"/>
    <row r="1783" ht="15.75" customHeight="1">
      <c r="A1783" s="18">
        <v>46447.0</v>
      </c>
    </row>
    <row r="1784" ht="15.75" customHeight="1">
      <c r="A1784" s="35" t="s">
        <v>249</v>
      </c>
      <c r="B1784" s="19">
        <v>89.0</v>
      </c>
    </row>
    <row r="1785" ht="15.75" customHeight="1">
      <c r="A1785" s="35" t="s">
        <v>237</v>
      </c>
    </row>
    <row r="1786" ht="15.75" customHeight="1">
      <c r="A1786" s="35" t="s">
        <v>212</v>
      </c>
      <c r="B1786" s="60">
        <v>61.0</v>
      </c>
    </row>
    <row r="1787" ht="15.75" customHeight="1">
      <c r="A1787" s="55" t="s">
        <v>115</v>
      </c>
      <c r="B1787" s="60">
        <v>500.0</v>
      </c>
    </row>
    <row r="1788" ht="15.75" customHeight="1">
      <c r="A1788" s="55" t="s">
        <v>258</v>
      </c>
      <c r="B1788" s="60">
        <v>3150.0</v>
      </c>
    </row>
    <row r="1789" ht="15.75" customHeight="1">
      <c r="A1789" s="55" t="s">
        <v>259</v>
      </c>
      <c r="B1789" s="60">
        <v>500.0</v>
      </c>
    </row>
    <row r="1790" ht="15.75" customHeight="1">
      <c r="A1790" s="55" t="s">
        <v>260</v>
      </c>
      <c r="B1790" s="60">
        <v>50.0</v>
      </c>
    </row>
    <row r="1791" ht="15.75" customHeight="1">
      <c r="A1791" s="35" t="s">
        <v>88</v>
      </c>
      <c r="B1791" s="60">
        <v>112.0</v>
      </c>
    </row>
    <row r="1792" ht="15.75" customHeight="1">
      <c r="A1792" s="35" t="s">
        <v>109</v>
      </c>
      <c r="B1792" s="60">
        <v>124.0</v>
      </c>
    </row>
    <row r="1793" ht="15.75" customHeight="1">
      <c r="A1793" s="35" t="s">
        <v>83</v>
      </c>
    </row>
    <row r="1794" ht="15.75" customHeight="1">
      <c r="A1794" s="35"/>
    </row>
    <row r="1795" ht="15.75" customHeight="1">
      <c r="A1795" s="35" t="s">
        <v>1</v>
      </c>
    </row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</sheetData>
  <printOptions/>
  <pageMargins bottom="1.18125" footer="0.0" header="0.0" left="0.511805555555555" right="0.511805555555555" top="1.1812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14"/>
  </cols>
  <sheetData>
    <row r="1">
      <c r="A1" s="61" t="s">
        <v>265</v>
      </c>
      <c r="B1" s="62">
        <v>17278.76</v>
      </c>
      <c r="C1" s="63"/>
    </row>
    <row r="2">
      <c r="A2" s="63" t="s">
        <v>266</v>
      </c>
      <c r="B2" s="62">
        <v>74351.88</v>
      </c>
    </row>
    <row r="3">
      <c r="A3" s="61" t="s">
        <v>267</v>
      </c>
      <c r="B3" s="62">
        <v>8247.45</v>
      </c>
      <c r="C3" s="63"/>
    </row>
    <row r="4">
      <c r="A4" s="63" t="s">
        <v>268</v>
      </c>
      <c r="B4" s="62">
        <v>7669.82</v>
      </c>
      <c r="C4" s="64"/>
    </row>
    <row r="5">
      <c r="A5" s="65" t="s">
        <v>269</v>
      </c>
      <c r="B5" s="62">
        <v>10859.75</v>
      </c>
      <c r="C5" s="64"/>
    </row>
    <row r="6">
      <c r="A6" s="61" t="s">
        <v>247</v>
      </c>
      <c r="B6" s="62">
        <v>143.36</v>
      </c>
      <c r="C6" s="64">
        <v>27.69</v>
      </c>
    </row>
    <row r="7">
      <c r="A7" s="66"/>
      <c r="B7" s="66"/>
      <c r="C7" s="66"/>
    </row>
    <row r="8">
      <c r="A8" s="66"/>
      <c r="B8" s="66"/>
      <c r="C8" s="66"/>
    </row>
    <row r="9">
      <c r="A9" s="67" t="s">
        <v>270</v>
      </c>
      <c r="B9" s="66"/>
      <c r="C9" s="66"/>
    </row>
    <row r="10">
      <c r="A10" s="66"/>
      <c r="B10" s="66"/>
      <c r="C10" s="66"/>
      <c r="F10" s="68" t="s">
        <v>271</v>
      </c>
    </row>
    <row r="11">
      <c r="A11" s="63" t="s">
        <v>272</v>
      </c>
      <c r="B11" s="69">
        <f>SUM(B1,B2,B3)</f>
        <v>99878.09</v>
      </c>
      <c r="C11" s="66"/>
    </row>
    <row r="12">
      <c r="A12" s="63" t="s">
        <v>273</v>
      </c>
      <c r="B12" s="70">
        <f>SUM(B1,B2)</f>
        <v>91630.64</v>
      </c>
      <c r="C12" s="61"/>
    </row>
    <row r="13">
      <c r="A13" s="63" t="s">
        <v>274</v>
      </c>
      <c r="B13" s="70">
        <f>SUM(B4,B5)</f>
        <v>18529.57</v>
      </c>
      <c r="C13" s="61"/>
    </row>
    <row r="14">
      <c r="A14" s="63" t="s">
        <v>275</v>
      </c>
      <c r="B14" s="70">
        <f>SUM(B5,B4,B1)</f>
        <v>35808.33</v>
      </c>
      <c r="C14" s="61"/>
    </row>
    <row r="15">
      <c r="A15" s="63" t="s">
        <v>276</v>
      </c>
      <c r="B15" s="70">
        <f>SUM(B2,B3)</f>
        <v>82599.33</v>
      </c>
      <c r="C15" s="61"/>
    </row>
    <row r="16">
      <c r="A16" s="63" t="s">
        <v>277</v>
      </c>
      <c r="B16" s="71">
        <f>SUM(B1,B2,B3,B6)</f>
        <v>100021.45</v>
      </c>
      <c r="C16" s="61"/>
    </row>
    <row r="17">
      <c r="A17" s="63" t="s">
        <v>278</v>
      </c>
      <c r="B17" s="72">
        <f>SUM(B1,B2,B3,B4,B5)</f>
        <v>118407.66</v>
      </c>
      <c r="C17" s="73"/>
    </row>
    <row r="18">
      <c r="A18" s="61" t="s">
        <v>247</v>
      </c>
      <c r="B18" s="72">
        <f>SUM(C6)</f>
        <v>27.69</v>
      </c>
      <c r="C18" s="70">
        <f>SUM(B6)</f>
        <v>143.36</v>
      </c>
    </row>
    <row r="19">
      <c r="A19" s="61"/>
      <c r="B19" s="70"/>
      <c r="C19" s="61"/>
    </row>
    <row r="20">
      <c r="A20" s="65" t="s">
        <v>1</v>
      </c>
      <c r="B20" s="69">
        <f>SUM(B1,B2,B3,B4,B5,B6)</f>
        <v>118551.02</v>
      </c>
      <c r="C20" s="6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0"/>
    <col customWidth="1" min="7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18125" footer="0.0" header="0.0" left="0.511805555555555" right="0.511805555555555" top="1.1812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2013-02-12T17:50:44Z</dcterms:created>
  <dc:creator>Tarciana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